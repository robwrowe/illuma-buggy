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Byte Legend" sheetId="2" r:id="rId6"/>
    <sheet state="visible" name="Absolute Unique Tail" sheetId="3" r:id="rId7"/>
    <sheet state="visible" name="Advertisements" sheetId="4" r:id="rId8"/>
    <sheet state="visible" name="Absolute Unique Code" sheetId="5" r:id="rId9"/>
    <sheet state="visible" name="efx_chase" sheetId="6" r:id="rId10"/>
    <sheet state="visible" name="efx_cross" sheetId="7" r:id="rId11"/>
    <sheet state="visible" name="efx_flicker" sheetId="8" r:id="rId12"/>
    <sheet state="visible" name="efx_pulse" sheetId="9" r:id="rId13"/>
    <sheet state="hidden" name="efx_heartbeat" sheetId="10" r:id="rId14"/>
    <sheet state="visible" name="efx_shimmer" sheetId="11" r:id="rId15"/>
    <sheet state="visible" name="efx_solid_rgb" sheetId="12" r:id="rId16"/>
    <sheet state="visible" name="efx_sw_twinkle" sheetId="13" r:id="rId17"/>
    <sheet state="visible" name="efx_unique" sheetId="14" r:id="rId18"/>
  </sheets>
  <definedNames>
    <definedName hidden="1" localSheetId="2" name="_xlnm._FilterDatabase">'Absolute Unique Tail'!$A$1:$AN$99</definedName>
    <definedName hidden="1" localSheetId="3" name="_xlnm._FilterDatabase">Advertisements!$A$1:$F$1454</definedName>
    <definedName hidden="1" localSheetId="4" name="_xlnm._FilterDatabase">'Absolute Unique Code'!$A$1:$AN$316</definedName>
    <definedName hidden="1" localSheetId="5" name="_xlnm._FilterDatabase">efx_chase!$A$1:$AT$24</definedName>
    <definedName hidden="1" localSheetId="6" name="_xlnm._FilterDatabase">efx_cross!$A$1:$AP$15</definedName>
    <definedName hidden="1" localSheetId="7" name="_xlnm._FilterDatabase">efx_flicker!$A$1:$AN$19</definedName>
    <definedName hidden="1" localSheetId="8" name="_xlnm._FilterDatabase">efx_pulse!$A$1:$AS$19</definedName>
    <definedName hidden="1" localSheetId="9" name="_xlnm._FilterDatabase">efx_heartbeat!$A$1:$AN$5</definedName>
    <definedName hidden="1" localSheetId="10" name="_xlnm._FilterDatabase">efx_shimmer!$A$1:$AN$9</definedName>
    <definedName hidden="1" localSheetId="11" name="_xlnm._FilterDatabase">efx_solid_rgb!$A$1:$AN$22</definedName>
    <definedName hidden="1" localSheetId="12" name="_xlnm._FilterDatabase">efx_sw_twinkle!$A$1:$AN$4</definedName>
    <definedName hidden="1" localSheetId="13" name="_xlnm._FilterDatabase">efx_unique!$A$1:$AN$17</definedName>
  </definedNames>
  <calcPr/>
</workbook>
</file>

<file path=xl/sharedStrings.xml><?xml version="1.0" encoding="utf-8"?>
<sst xmlns="http://schemas.openxmlformats.org/spreadsheetml/2006/main" count="4360" uniqueCount="536">
  <si>
    <t>Table</t>
  </si>
  <si>
    <t>Length</t>
  </si>
  <si>
    <t>Purpose</t>
  </si>
  <si>
    <t>Num of bytes for this animation</t>
  </si>
  <si>
    <t>Effect Name</t>
  </si>
  <si>
    <t>TM</t>
  </si>
  <si>
    <t>Description</t>
  </si>
  <si>
    <t>Timing Model</t>
  </si>
  <si>
    <t>TB</t>
  </si>
  <si>
    <t>Timing Byte</t>
  </si>
  <si>
    <t>Advertisements</t>
  </si>
  <si>
    <t>#</t>
  </si>
  <si>
    <t>Number of Colors</t>
  </si>
  <si>
    <t>All of the various show effect commands observed. There may be duplicates due to the EX00E9 prefix</t>
  </si>
  <si>
    <t>Chase</t>
  </si>
  <si>
    <t>Lights follow in order</t>
  </si>
  <si>
    <t>Absolute Unique Code</t>
  </si>
  <si>
    <t>One row for every advertisement observed, removing the EX00 prefix</t>
  </si>
  <si>
    <t>Shimmer</t>
  </si>
  <si>
    <t>Lights cut on &amp; off syncrously (one zone on, other zone off)</t>
  </si>
  <si>
    <t>F1</t>
  </si>
  <si>
    <t>Color Format #1 (palette vs. RGB)</t>
  </si>
  <si>
    <t>Absolute Unique Tail</t>
  </si>
  <si>
    <t>C1</t>
  </si>
  <si>
    <t>One row for every advertisement tail observed. It is believed this is what actually contains the effect information, therefore it is what we need to isolate (not timing, color, or vibration bytes)</t>
  </si>
  <si>
    <t>Flicker</t>
  </si>
  <si>
    <t>Lights predominatly on, but will briefly dim, similar to a candle</t>
  </si>
  <si>
    <t>Color #1 / R1</t>
  </si>
  <si>
    <t>C2</t>
  </si>
  <si>
    <t>Color #2 / G1</t>
  </si>
  <si>
    <t>Pulse</t>
  </si>
  <si>
    <t>C3</t>
  </si>
  <si>
    <t>Lights cut on &amp; fade off</t>
  </si>
  <si>
    <t>Color #3 / B1</t>
  </si>
  <si>
    <t>F2</t>
  </si>
  <si>
    <t>Color Format #2 (palette vs. RGB)</t>
  </si>
  <si>
    <t>Cycle</t>
  </si>
  <si>
    <t>C4</t>
  </si>
  <si>
    <t>Similar to a chase, except it does not do all five regions</t>
  </si>
  <si>
    <t>Color #4 / R2</t>
  </si>
  <si>
    <t>C5</t>
  </si>
  <si>
    <t>Color #5 / G2</t>
  </si>
  <si>
    <t>Strobe</t>
  </si>
  <si>
    <t>C6</t>
  </si>
  <si>
    <t>Hex</t>
  </si>
  <si>
    <t>Cuts on &amp; off</t>
  </si>
  <si>
    <t>Color #6 / B2</t>
  </si>
  <si>
    <t>Heartbeat</t>
  </si>
  <si>
    <t>Start</t>
  </si>
  <si>
    <t>Fades on, dims, fades back to 100%, fades out. Wait a beat, repeat</t>
  </si>
  <si>
    <t>Tail Start Byte</t>
  </si>
  <si>
    <t>Cross</t>
  </si>
  <si>
    <t>T{XX}</t>
  </si>
  <si>
    <t>Transitions between two colors</t>
  </si>
  <si>
    <t>Tail Byte Number</t>
  </si>
  <si>
    <t>-Saw</t>
  </si>
  <si>
    <t>Fades smoothly from color A to B, then cuts back to A</t>
  </si>
  <si>
    <t>Vib</t>
  </si>
  <si>
    <t>-Fade</t>
  </si>
  <si>
    <t>Smoothly ramps between A &amp; B</t>
  </si>
  <si>
    <t>Unique</t>
  </si>
  <si>
    <t>Hard to describe; most likely very programmatic</t>
  </si>
  <si>
    <t>Op Code</t>
  </si>
  <si>
    <t>Circle</t>
  </si>
  <si>
    <t>Vibration Byte</t>
  </si>
  <si>
    <t>Outer chases with a tail to the background color; inner sawtooth from background to chase</t>
  </si>
  <si>
    <t>Glow</t>
  </si>
  <si>
    <t>Date</t>
  </si>
  <si>
    <t>Lights fade in &amp; out</t>
  </si>
  <si>
    <t>Location</t>
  </si>
  <si>
    <t>Show</t>
  </si>
  <si>
    <t>Effective Code</t>
  </si>
  <si>
    <t>8301e100CD070E071C08000000</t>
  </si>
  <si>
    <t>Effect</t>
  </si>
  <si>
    <t>Unmatched</t>
  </si>
  <si>
    <t>MK</t>
  </si>
  <si>
    <t>Starlight</t>
  </si>
  <si>
    <t>8301E100CD070E071C28000000</t>
  </si>
  <si>
    <t>TB Value</t>
  </si>
  <si>
    <t># of Cycles</t>
  </si>
  <si>
    <t>Cycle Length</t>
  </si>
  <si>
    <t>Direction</t>
  </si>
  <si>
    <t># of Zones</t>
  </si>
  <si>
    <t>T00</t>
  </si>
  <si>
    <t>Fade Ramp</t>
  </si>
  <si>
    <t>T01</t>
  </si>
  <si>
    <t>T02</t>
  </si>
  <si>
    <t>8301E100CD070E071C48000000</t>
  </si>
  <si>
    <t>T03</t>
  </si>
  <si>
    <t>T04</t>
  </si>
  <si>
    <t>T05</t>
  </si>
  <si>
    <t>T06</t>
  </si>
  <si>
    <t>8301E200CD070E070228000000</t>
  </si>
  <si>
    <t>T07</t>
  </si>
  <si>
    <t>T08</t>
  </si>
  <si>
    <t>T09</t>
  </si>
  <si>
    <t>T10</t>
  </si>
  <si>
    <t>T11</t>
  </si>
  <si>
    <t>T12</t>
  </si>
  <si>
    <t>8301E200CD070E071C08000000</t>
  </si>
  <si>
    <t>T13</t>
  </si>
  <si>
    <t>T14</t>
  </si>
  <si>
    <t>T15</t>
  </si>
  <si>
    <t>T16</t>
  </si>
  <si>
    <t>8301E200CD070E071C28000000</t>
  </si>
  <si>
    <t>8301e100E904000F0EF5</t>
  </si>
  <si>
    <t>DHS</t>
  </si>
  <si>
    <t>Fantasmic!</t>
  </si>
  <si>
    <t>8301e100E90400120EF9</t>
  </si>
  <si>
    <t>8301e100E90400430EFB</t>
  </si>
  <si>
    <t>8301E100E904006B0EF9</t>
  </si>
  <si>
    <t>8301E100E90400CF0EE2</t>
  </si>
  <si>
    <t>8301E100E90400CF0EFD</t>
  </si>
  <si>
    <t>8301e100E90400D50EE4</t>
  </si>
  <si>
    <t>SW Twinkle</t>
  </si>
  <si>
    <t>0x05</t>
  </si>
  <si>
    <t>1.5s</t>
  </si>
  <si>
    <t>8301e100E90400DF0EED</t>
  </si>
  <si>
    <t>Down</t>
  </si>
  <si>
    <t>Cut</t>
  </si>
  <si>
    <t>Happily Ever After</t>
  </si>
  <si>
    <t>8301E100E90C00640FB2A4B5B2B5307B7DB0</t>
  </si>
  <si>
    <t>8301e100E90400DF0EF3</t>
  </si>
  <si>
    <t>8301E100E90400DF0EF5</t>
  </si>
  <si>
    <t>8301E100E90400DF0EFD</t>
  </si>
  <si>
    <t>8301E100E90400EF0EE4</t>
  </si>
  <si>
    <t>8301E100E90400EF0EFD</t>
  </si>
  <si>
    <t>8301E300E90400CF0EFD</t>
  </si>
  <si>
    <t>8301E90400010EFD</t>
  </si>
  <si>
    <t>EPCOT</t>
  </si>
  <si>
    <t>SSE</t>
  </si>
  <si>
    <t>8301E100E90500010EE4BB</t>
  </si>
  <si>
    <t>8301E100E90500010EFDB0</t>
  </si>
  <si>
    <t>8301e100E90500110EE4B0</t>
  </si>
  <si>
    <t>8301E100E90500110EEFB0</t>
  </si>
  <si>
    <t>8301E100E90500110EF2BB</t>
  </si>
  <si>
    <t>8301e100E90500110EF5BB</t>
  </si>
  <si>
    <t>Luminous</t>
  </si>
  <si>
    <t>8301E100E90500110EF7B0</t>
  </si>
  <si>
    <t>8301E100E90500110EFBBB</t>
  </si>
  <si>
    <t>8301E100E90500110EFCB0</t>
  </si>
  <si>
    <t>8301E100E90500110EFCB1</t>
  </si>
  <si>
    <t>8301e100E90500120EF5BB</t>
  </si>
  <si>
    <t>Celebrate America</t>
  </si>
  <si>
    <t>8301e100E90500140EFCB0</t>
  </si>
  <si>
    <t>8301E100E90500150EE4B0</t>
  </si>
  <si>
    <t>8301E100E90500210EFBB0</t>
  </si>
  <si>
    <t>8301E100E90500210EFCB0</t>
  </si>
  <si>
    <t>8301e100E90500220EE4BB</t>
  </si>
  <si>
    <t>8301e100E90C00CF0FB9A4B9A4A8307B7BB0</t>
  </si>
  <si>
    <t>Colorcycle. All-one</t>
  </si>
  <si>
    <t>8301E100E90500220EEFB2</t>
  </si>
  <si>
    <t>8301E100E91200A329040E160F044897D00EFFD1460625B0</t>
  </si>
  <si>
    <t>x</t>
  </si>
  <si>
    <t>8301E100E90500230EFCB0</t>
  </si>
  <si>
    <t>8301e100E90500250EFCB0</t>
  </si>
  <si>
    <t>8301E100E90500330EE0BD</t>
  </si>
  <si>
    <t>8301e100E905004C0EF1B0</t>
  </si>
  <si>
    <t>8301E100E90500510EE4B0</t>
  </si>
  <si>
    <t>8301e100E90500610EF3B0</t>
  </si>
  <si>
    <t>8301E100E905006F0EF1B0</t>
  </si>
  <si>
    <t>8301E100E905006F0EF5B0</t>
  </si>
  <si>
    <t>8301e100E90500E40EF1B0</t>
  </si>
  <si>
    <t>8301E200E90500010EFDB0</t>
  </si>
  <si>
    <t>8301E200E90500110EE4B0</t>
  </si>
  <si>
    <t>8301E200E90500110EF7B0</t>
  </si>
  <si>
    <t>8301E200E90500150EFCB0</t>
  </si>
  <si>
    <t>0.75s</t>
  </si>
  <si>
    <t>8301E200E90500210EEFB0</t>
  </si>
  <si>
    <t>8301e100E9070021D255FC6400</t>
  </si>
  <si>
    <t>8301E100E90B00680FAFB5AFB5BD307B02</t>
  </si>
  <si>
    <t>8301E100E9070024D255FC0000</t>
  </si>
  <si>
    <t>8301e100E907004FD255003C48</t>
  </si>
  <si>
    <t>8301E100E907004FD2550041FC</t>
  </si>
  <si>
    <t>8301E100E907004FD2553D00FC</t>
  </si>
  <si>
    <t>Clubhouse Live</t>
  </si>
  <si>
    <t>8301e100E907004FD2554B0000</t>
  </si>
  <si>
    <t>8301E100E90C00460FB5B1B9A4A8307B00B0</t>
  </si>
  <si>
    <t>8301E100E907006BD255570000</t>
  </si>
  <si>
    <t>8301e100E9070074D255004004</t>
  </si>
  <si>
    <t>8301E000E90800EF0FADADADADAD</t>
  </si>
  <si>
    <t>8301e100E9080021D255456461BA</t>
  </si>
  <si>
    <t>8301E100E9080043D255000000B0</t>
  </si>
  <si>
    <t>8301E100E908004F0FAFA4B5B5A4</t>
  </si>
  <si>
    <t>8301e100E908004F0FAFA8A8B6B6</t>
  </si>
  <si>
    <t>8301e100E9080065D255000000B0</t>
  </si>
  <si>
    <t>8301E100E9080073D255000000B0</t>
  </si>
  <si>
    <t>8301E100E908008FD255000000B0</t>
  </si>
  <si>
    <t>8301E100E90800CFD255000000B0</t>
  </si>
  <si>
    <t>8301e100E90800EF0FA4ADADA4A4</t>
  </si>
  <si>
    <t>8301E300E90800EF0FADADADADAD</t>
  </si>
  <si>
    <t>8301e100E90900010FB1B1B1BDBDB3</t>
  </si>
  <si>
    <t>8301E100E90900010FB1BDBDB1B1B3</t>
  </si>
  <si>
    <t>8301e100E90900010FB2B5A4A4B5B0</t>
  </si>
  <si>
    <t>8301E100E90900010FBDB5B5BDBDB0</t>
  </si>
  <si>
    <t>8301e100E90900050FA7A7B1A7B1B0</t>
  </si>
  <si>
    <t>8301E100E90900050FA7B1B1B1B1B0</t>
  </si>
  <si>
    <t>8301E100E90900050FADADB1ADB1B0</t>
  </si>
  <si>
    <t>Solid</t>
  </si>
  <si>
    <t>8301E100E90900050FB1B1ADB1ADB0</t>
  </si>
  <si>
    <t>8301e100E90900050FB1B1B1B1B1B0</t>
  </si>
  <si>
    <t>8301e100E909000F0FA3B5B5A1A1B0</t>
  </si>
  <si>
    <t>8301e100E90C00830FB9B1B6B1B6307B07B0</t>
  </si>
  <si>
    <t>8301E100E909000F0FAFA4B9A4B9B0</t>
  </si>
  <si>
    <t>8301e100E909000F0FB1B9B5B1A2B0</t>
  </si>
  <si>
    <t>8301e100E90900110FA4B5B2B5B2B0</t>
  </si>
  <si>
    <t>8301e100E90900110FADADADBCBCB1</t>
  </si>
  <si>
    <t>8301e100E90900110FB3B4B5B5B4B0</t>
  </si>
  <si>
    <t>8301e100E90900130FBBB5A4A4B5B0</t>
  </si>
  <si>
    <t>8301e100E909001F0FA4A8B6B6A8B0</t>
  </si>
  <si>
    <t>8301E100E909001F0FBBA1A4A4A1B0</t>
  </si>
  <si>
    <t>8301e100E909001F0FBBB1A7A7B1B0</t>
  </si>
  <si>
    <t>8301E100E909001F0FBBBBBBBBBBB0</t>
  </si>
  <si>
    <t>8301e100E909001F0FBCAFB5B5AFB0</t>
  </si>
  <si>
    <t>8301E100E90900210FA4AFAFAFAFB0</t>
  </si>
  <si>
    <t>8301e100E90900210FAFA1A4A1A4B0</t>
  </si>
  <si>
    <t>8301E100E90900210FB3B9A2A1B9B0</t>
  </si>
  <si>
    <t>AK</t>
  </si>
  <si>
    <t>Lion King</t>
  </si>
  <si>
    <t>8301E100E90900210FB9B1B6B1B6B0</t>
  </si>
  <si>
    <t>8301E100E90C00A30FBDAEB3A2B9307BFBB0</t>
  </si>
  <si>
    <t>8301e100E90900220FA1A2A0A2A0BA</t>
  </si>
  <si>
    <t>8301E100E90900220FAEA8B4B4A8BA</t>
  </si>
  <si>
    <t>8301E100E90900230FA4A4A4A4A4BD</t>
  </si>
  <si>
    <t>8301e100E90900230FA4B5B2B5B2B0</t>
  </si>
  <si>
    <t>8301e100E90900240FBCB9B9A2A2B0</t>
  </si>
  <si>
    <t>8301e100E909002C0FB0A8A2A8A2B0</t>
  </si>
  <si>
    <t>8301E100E90900410FB5BDBDB5B5B0</t>
  </si>
  <si>
    <t>8301E100E90900420FBDBDB1B1BDB0</t>
  </si>
  <si>
    <t>8301E100E90900430FB1B1B1B1B1B0</t>
  </si>
  <si>
    <t>8301E100E90900520FB9B1B6B1B6B0</t>
  </si>
  <si>
    <t>8301E100E909005A0FA1A4B5B5A4B0</t>
  </si>
  <si>
    <t>8301e100E909005F0FA7B9B9B9B9B0</t>
  </si>
  <si>
    <t>Strobe-ish effect, ~8 steps</t>
  </si>
  <si>
    <t>8301E100E909005F0FB4A4A4AEAEB0</t>
  </si>
  <si>
    <t>8301E100E90900650FAFA7A1A1A7B0</t>
  </si>
  <si>
    <t>8301E100E90C00150F5B5548A5D1654003B8</t>
  </si>
  <si>
    <t>8301E100E90900650FBBB5A4A4B5BA</t>
  </si>
  <si>
    <t>8301e100E90900680FA1A3A7A7A3B0</t>
  </si>
  <si>
    <t>8301e100E909007D0FA2B1B1B1B1B0</t>
  </si>
  <si>
    <t>8301E100E90900820FAFB9ADB3A8B0</t>
  </si>
  <si>
    <t>8301e100E90900BA0FBBB3B9A2B5B0</t>
  </si>
  <si>
    <t>8301E100E90900EF0FAFA7A1A1A7B0</t>
  </si>
  <si>
    <t>8301e100E90900FF0FBBB5A4A4B5BB</t>
  </si>
  <si>
    <t>8301E200E90900210FAFA1A4A1A4B0</t>
  </si>
  <si>
    <t>8301E200E909002C0FB0A8A2A8A2B0</t>
  </si>
  <si>
    <t>8301E100E90C00010F4D4D5A940200488BB0</t>
  </si>
  <si>
    <t>8301E100E90C00010F5C5C5BF000FC374895</t>
  </si>
  <si>
    <t>8301E100E90C000F0FB1B9B5B1A2307B7DB0</t>
  </si>
  <si>
    <t>Ping-Pong</t>
  </si>
  <si>
    <t>8301e100E90C00190FB5B1A4B5B2307B40B0</t>
  </si>
  <si>
    <t>Sawtooth</t>
  </si>
  <si>
    <t>8301E100E91000610F475658F44882D1460908D06519</t>
  </si>
  <si>
    <t>8301e100E912001F0FBDBDBDBCBC30D037F4D246000064B0</t>
  </si>
  <si>
    <t>8301e100E90C00930FAFB9ADB3A8307B00B0</t>
  </si>
  <si>
    <t>8301e100E90C00EF0F4F4F5BF0FB14374895</t>
  </si>
  <si>
    <t>8301E200E90C00190FB5B1A4B5B2307B40B0</t>
  </si>
  <si>
    <t>8301E200E90C00930FAFB9ADB3A8307B00B0</t>
  </si>
  <si>
    <t>8301e100E90D00110FBBBBBBBBBB59320248AE</t>
  </si>
  <si>
    <t>8301e100E90D00120FBBBBBBBBBB59320248AE</t>
  </si>
  <si>
    <t>8301e100E90D00120FBCA4B5A4B5590FFB48AE</t>
  </si>
  <si>
    <t>8301E100E90D00120FBCA4B9A4B9590FFB48AE</t>
  </si>
  <si>
    <t>8301E100E90D00130FB4B5B5B5B3590FFB48AE</t>
  </si>
  <si>
    <t>8301E100E90D00130FBBBBBBBBBB59320248AE</t>
  </si>
  <si>
    <t>8301E100E90D00160FB2AFB2AFB259190E48AE</t>
  </si>
  <si>
    <t>8301e100E90D00160FB2B2B2B2B259190248AE</t>
  </si>
  <si>
    <t>8301e100E911002F0F444F58F44882D146090DD06519B0</t>
  </si>
  <si>
    <t>8301E100E90D001F0FB9B9B9B9B959190248AE</t>
  </si>
  <si>
    <t>8301E91200010FBCBDBDBDBD30D037F4D2460000FCBB</t>
  </si>
  <si>
    <t>8301e100E90D0048D255004B69D25822323078</t>
  </si>
  <si>
    <t>8301E100E90D004FD255004604D25800000678</t>
  </si>
  <si>
    <t>8301e100E90D004FD2555D63FCD2580000FC78</t>
  </si>
  <si>
    <t>8301e100E90D005FD255FC6E1ED25800000078</t>
  </si>
  <si>
    <t>8301e100E90D0064D255FC0000D25864420078</t>
  </si>
  <si>
    <t>8301E100E90D0066D255FC4800D2580000FC78</t>
  </si>
  <si>
    <t>8301E100E90D0067D2552B2E00D2582400FC78</t>
  </si>
  <si>
    <t>8301E100E90D006AD255FC0000D25800FC0078</t>
  </si>
  <si>
    <t>8301e100E90D006CD255203231D25800006478</t>
  </si>
  <si>
    <t>8301e100E90D007AD25500FCFCD25856004178</t>
  </si>
  <si>
    <t>8301e100E90D008AD255FC6E1ED25800000078</t>
  </si>
  <si>
    <t>8301E100E91200C30FB1A4B5B5A430D037F4D246000CFCB0</t>
  </si>
  <si>
    <t>8301E100E90D00CFD255FC6E1ED25800000078</t>
  </si>
  <si>
    <t>8301e100E90E00010FB1B1B1B1B159190248AEB0</t>
  </si>
  <si>
    <t>Ping-Pong, but a weird behavior</t>
  </si>
  <si>
    <t>8301E100E90E00010FBBBBBBBBBB59190248AEB8</t>
  </si>
  <si>
    <t>8301E100E90E00020FB1B0B3AFAF59190248AEB0</t>
  </si>
  <si>
    <t>8301e100E911006F0F404B58F44882D146020CD06519B0</t>
  </si>
  <si>
    <t>8301E100E90E00020FBBBBBBBBBB59190248AEB7</t>
  </si>
  <si>
    <t>8301e100E90E00040FBBBBBBBBBB59190248AEB8</t>
  </si>
  <si>
    <t>8301E100E90E00050FBBB5A4A4B559190248AEB7</t>
  </si>
  <si>
    <t>8301E100E90E00060FBBBBBBBBBB59190248AEB7</t>
  </si>
  <si>
    <t>8301E100E90E00070FA4B5B3B9B259190248AEB8</t>
  </si>
  <si>
    <t>8301e100E90E000B0FB6B6A3B6A359190248AEB0</t>
  </si>
  <si>
    <t>8301E100E90E00110FA3A3A3A3A359190248AEB0</t>
  </si>
  <si>
    <t>8301e100E91200480FBBB5A4B5A430D037F4D246001340B0</t>
  </si>
  <si>
    <t>8301E100E90E00110FB1B1B1B1B159190248AEB0</t>
  </si>
  <si>
    <t>8301E100E90E00110FB2B2B2B2B259190248AEB0</t>
  </si>
  <si>
    <t>8301E100E90E0011D255000000D25800000078B0</t>
  </si>
  <si>
    <t>8301E100E90E00120FA4A4A4A4A459190248AEB8</t>
  </si>
  <si>
    <t>8301e100E90E00120FA9AEADAEAD59190248AEB7</t>
  </si>
  <si>
    <t>8301E100E90E00120FB5B5B5B5B559190248AEB8</t>
  </si>
  <si>
    <t>8301e100E90E00120FBBB5A4B5A4590A0148AEB0</t>
  </si>
  <si>
    <t>8301E100E90E00120FBBBBBBBBBB59190248AEB0</t>
  </si>
  <si>
    <t>8301E100E90E00120FBBBBBBBBBB59190248AEB8</t>
  </si>
  <si>
    <t>8301E100E90E00120FBBBBBBBBBB59320248AEB8</t>
  </si>
  <si>
    <t>8301E100E90E00130FB4B5B5B1B3590FFB48AEB0</t>
  </si>
  <si>
    <t>8301e100E911001F0FB2B2B2BDBD30D037F4D246006464</t>
  </si>
  <si>
    <t>8301e100E90E00130FBBBBBBBBBB59320248AEB8</t>
  </si>
  <si>
    <t>8301E100E90E00160FB1B1B1B1B159190248AEB0</t>
  </si>
  <si>
    <t>8301e100E90E001FD255000000D25800000078B0</t>
  </si>
  <si>
    <t>8301e100E91100C10FA2B2B9ACB530D037F4D246001978</t>
  </si>
  <si>
    <t>8301E100E90E0021D255000000D25800000078B0</t>
  </si>
  <si>
    <t>8301e100E90E0023D255000000D25800000078B0</t>
  </si>
  <si>
    <t>8301E100E90E00240FBBBBBBBBBB59320248AEB8</t>
  </si>
  <si>
    <t>8301E100E90E0024D255000000D25800000078B0</t>
  </si>
  <si>
    <t>8301E100E90E00250FB8A3A9A3A959190248AEB0</t>
  </si>
  <si>
    <t>8301E100E90E004C0FA0A0B6A0B659190248AEB8</t>
  </si>
  <si>
    <t>8301E100E90E005F0FA2A2A2A1A259190248AEB0</t>
  </si>
  <si>
    <t>8301e100E90E005F0FBBBBBBBBBB59190248AEB0</t>
  </si>
  <si>
    <t>8301e100E90E007BD255000000D25800000078B0</t>
  </si>
  <si>
    <t>8301e100E90E00A7D255000000D25800000078B0</t>
  </si>
  <si>
    <t>8301E200E90E00040FBBBBBBBBBB59190248AEB8</t>
  </si>
  <si>
    <t>8301E200E90E00070FBBBBBBBBBB59190248AEB0</t>
  </si>
  <si>
    <t>A weird blend between the two colors</t>
  </si>
  <si>
    <t>8301E200E90E005F0FBBBBBBBBBB59190248AEB0</t>
  </si>
  <si>
    <t>8301E100E90F00010F5D5B5803488DD246020300B0</t>
  </si>
  <si>
    <t>8301E100E91300080F5D5C58F44882D065FCD14602FA307B00</t>
  </si>
  <si>
    <t>8301E100E90F000F0EEF7AEC5C022814281448ABB0</t>
  </si>
  <si>
    <t>8301E100E90F00110EF17AEC5C012814281448ABB0</t>
  </si>
  <si>
    <t>8301E100E90F004F4897D00E80D146091E30D04E00</t>
  </si>
  <si>
    <t>8301E100E90F00520EF17AEC5C022814281448ABB0</t>
  </si>
  <si>
    <t>8301E100E90F00CF0F524D488FD1412AC8D1460701</t>
  </si>
  <si>
    <t>8301E200E90F00240EEF7AEC5C012814281448ABB0</t>
  </si>
  <si>
    <t>8301E100E91000010F5C55F4A0D037F2D241C60500B9</t>
  </si>
  <si>
    <t>8301e100E910000F0F515558F44882D1460214D06505</t>
  </si>
  <si>
    <t>8301E100E910000F0F515558F44882D146023ED06505</t>
  </si>
  <si>
    <t>8301E100E910000F0F535158F44882D1460214D06505</t>
  </si>
  <si>
    <t>8301E100E910000F0F535158F44882D146023ED06505</t>
  </si>
  <si>
    <t>8301e100E910000F0F535558F44882D1460214D06505</t>
  </si>
  <si>
    <t>8301E100E910000F0F535558F44882D146023ED06505</t>
  </si>
  <si>
    <t>8301E100E91000120F4F4FD037F2D2412A06190100B9</t>
  </si>
  <si>
    <t>8301E100E91200D20FA4B9A8AFB530D037F4D2460064FCB0</t>
  </si>
  <si>
    <t>Down, sawtooth</t>
  </si>
  <si>
    <t>8301e100E91000140F4F4FD037F2D2412A06190100B9</t>
  </si>
  <si>
    <t>8301E100E910002A0F5D4058F44882D1460601D06543</t>
  </si>
  <si>
    <t>8301e100E910002A0F5D4058F44882D1460602D06543</t>
  </si>
  <si>
    <t>8301E100E91300520F5D4458F44882D0650AD14602C8307B00</t>
  </si>
  <si>
    <t>8301E100E910002A0F5D4058F44882D1460604D06543</t>
  </si>
  <si>
    <t>8301e100E91000434896D00E97D146063730D04E25B0</t>
  </si>
  <si>
    <t>8301E100E910004C4897D00E80D146052030D04E00B0</t>
  </si>
  <si>
    <t>8301E200E91000010F5C55F4A0D037F2D241C60500B9</t>
  </si>
  <si>
    <t>8301E200E91000060F5555F1A0D037F2D241C60300B0</t>
  </si>
  <si>
    <t>8301E200E91000080F5555F1A0D037F2D241C60300B0</t>
  </si>
  <si>
    <t>8301E910000F0F545D58F44882D146090AD06528</t>
  </si>
  <si>
    <t>8301E100E91100010F48485BF01834374894D13D050AB0</t>
  </si>
  <si>
    <t>8301E100E91100010F5B5B5BF01834374894D13D050AB0</t>
  </si>
  <si>
    <t>8301E100E91100020F48485BF01834374894D13D050AB0</t>
  </si>
  <si>
    <t>8301E200E91200C30FB6B9B6B6B930D037F4D24600FCFCB0</t>
  </si>
  <si>
    <t>8301E100E91100020F4E4D5BF03134374894D13D0507B0</t>
  </si>
  <si>
    <t>8301e100E91100020F51515BF03134374894D13D0507B0</t>
  </si>
  <si>
    <t>8301E100E91100020F5D555BF03134374894D13D0507B0</t>
  </si>
  <si>
    <t>8301e100E911000F0F444F58F44882D146060AD06543B0</t>
  </si>
  <si>
    <t>8301E100E911000F0F485958F44882D146020DD06505B0</t>
  </si>
  <si>
    <t>8301e100E911000F0F515558F44882D146023ED06505B0</t>
  </si>
  <si>
    <t>8301E100E911000F0F545158F44882D146020DD06505B0</t>
  </si>
  <si>
    <t>8301e100E911001F0FB3B3B3BDBD30D037F4D246006464</t>
  </si>
  <si>
    <t>8301e100E911001F0FB5B5B5BDBD30D037F4D246006464</t>
  </si>
  <si>
    <t>8301E100E911001F0FB6B6B6BDBD30D037F4D246006464</t>
  </si>
  <si>
    <t>8301E100E911001F0FBCBCBCBDBD30D037F4D246006464</t>
  </si>
  <si>
    <t>8301e100E911002A0F5D5358F44882D1460602D06543B0</t>
  </si>
  <si>
    <t>8301E100E911002F0F594758F44882D146090DD06519B0</t>
  </si>
  <si>
    <t>8301E100E911002F0F5B4858F44882D146090DD06519B0</t>
  </si>
  <si>
    <t>8301E100E91100440F475558F44882D1460607D06536B0</t>
  </si>
  <si>
    <t>8301E100E91100440F5B5D58F44882D146050FD06500B0</t>
  </si>
  <si>
    <t>8301E100E91100480F43485BF0403F374894D13D051EB0</t>
  </si>
  <si>
    <t>8301E100E911004F0F444F58F44882D1460607D06543B0</t>
  </si>
  <si>
    <t>8301E100E91100540F434758F44882D146050FD06500BA</t>
  </si>
  <si>
    <t>8301e100E91100540F445558F44882D146050FD06500B0</t>
  </si>
  <si>
    <t>8301e100E91100540F534D58F44882D146050FD06500B0</t>
  </si>
  <si>
    <t>8301E100E91100560F534D58F44882D146050FD06500BA</t>
  </si>
  <si>
    <t>8301E100E91100560F555D58F44882D146050FD06500B0</t>
  </si>
  <si>
    <t>8301e100E91100630F424058F44882D1460205D06500B0</t>
  </si>
  <si>
    <t>8301e100E91100680F534D58F44882D146050FD06500BA</t>
  </si>
  <si>
    <t>Extended strobe Outer/Inner</t>
  </si>
  <si>
    <t>8301e100E911006F0F445B58F44882D1460609D06543B0</t>
  </si>
  <si>
    <t>8301e100E911006F0F564858F44882D1460208D06500B0</t>
  </si>
  <si>
    <t>8301E100E91100870F565958F44882D1460513D06500B0</t>
  </si>
  <si>
    <t>8301E100E911008F0F535C58F44882D1460207D06558B0</t>
  </si>
  <si>
    <t>8301E100E911008F0F594258F44882D146020DD06558B0</t>
  </si>
  <si>
    <t>8301E100E911008F0F5B5D58F44882D146052BD06538B0</t>
  </si>
  <si>
    <t>8301E100E911009F0F5B5D58F44882D146052BD06538B0</t>
  </si>
  <si>
    <t>8301e100E91100AF0F5B5D58F44882D146052BD06538B0</t>
  </si>
  <si>
    <t>8301E200E91100010F5B5B5BF01834374894D13D050AB0</t>
  </si>
  <si>
    <t>8301E200E91100020F5D555BF03134374894D13D0507B0</t>
  </si>
  <si>
    <t>8301E200E911000A0F55555BF03134374894D13D0507B0</t>
  </si>
  <si>
    <t>8301E200E911000C0F55555BF01820374894D13D050BB0</t>
  </si>
  <si>
    <t>8301E200E911000F0F444F58F44882D146060AD06543B0</t>
  </si>
  <si>
    <t>No consistent color information</t>
  </si>
  <si>
    <t>8301E200E911004F0F515558F44882D146023ED06505B0</t>
  </si>
  <si>
    <t>8301E200E91000034896D00E84D146060330D04E07B0</t>
  </si>
  <si>
    <t>8301E200E91100540F534D58F44882D146050FD06500B0</t>
  </si>
  <si>
    <t>8301E200E91100680F534D58F44882D146050FD06500BA</t>
  </si>
  <si>
    <t>8301E200E911008F0F5B5D58F44882D146052BD06538B0</t>
  </si>
  <si>
    <t>8301E200E911009F0F5B5D58F44882D146052BD06538B0</t>
  </si>
  <si>
    <t>8301e100E91200010FBDBCBCBCBC7AEC5C982915291548AB</t>
  </si>
  <si>
    <t>8301e100E91200110FBDB9B9B9B97AEC5C982915291548AB</t>
  </si>
  <si>
    <t>8301E100E91200114896D00E8BD04D83D037F0D13D0504B0</t>
  </si>
  <si>
    <t>8301e100E91200184896D00E86D04D83D037F0D13D050AB0</t>
  </si>
  <si>
    <t>8301e100E91200C30FBCBCBDBCBD30D037F4D246000CFCB0</t>
  </si>
  <si>
    <t>8301E100E91200CF0FBCA4BCA4BC30D037F4D246001978B0</t>
  </si>
  <si>
    <t>Heartbeat; Different devices show different colors, but the colors are consistent</t>
  </si>
  <si>
    <t>8301E100E91200D30FB5B2A3AEB930D037F4D2460000FCB0</t>
  </si>
  <si>
    <t>8301E200E91200114896D00E8BD04D83D037F0D13D0504B0</t>
  </si>
  <si>
    <t>8301E200E91200D30FB5B2A3AEB930D037F4D2460000FCB0</t>
  </si>
  <si>
    <t>8301e100E913000F0FBDA4A4A4A47AEC5C022915291548ABB0</t>
  </si>
  <si>
    <t>8301e100E91300420FBDB5AFB5AF7AEC5C0A2915291548ABB0</t>
  </si>
  <si>
    <t>8301E100E91300440FBDB1ADB1AD7AEC5C062915291548ABB0</t>
  </si>
  <si>
    <t>8301e100E9130044D037F0D23D0507000EF58983510EF50C46</t>
  </si>
  <si>
    <t>8301E100E913005F0F445C58F44882D06535D1462A01307BA1</t>
  </si>
  <si>
    <t>8301e100E913005F0F445C58F44882D06535D1462A85307BA1</t>
  </si>
  <si>
    <t>8301E100E913005F0F5D4F58F44882D06535D1460A01307BA1</t>
  </si>
  <si>
    <t>8301e100E913006B0F435658F44882D0650AD14602C8307B00</t>
  </si>
  <si>
    <t>8301E100E913006D0FBDA0B6A0B67AEC5C0A2915291548ABB0</t>
  </si>
  <si>
    <t>8301e100E91300770F5C5D58F44882D0650AD14602C8307B00</t>
  </si>
  <si>
    <t>8301E100E91300770F5D4458F44882D0650AD14602C8307B00</t>
  </si>
  <si>
    <t>8301E200E913000F0FBDA4A4A4A47AEC5C022915291548ABB0</t>
  </si>
  <si>
    <t>8301E100E91400030F5D5458F44882D0650AD1460228307B00B0</t>
  </si>
  <si>
    <t>8301E100E91400060F4D5D58F44882D0651CD14602ED307BFFB0</t>
  </si>
  <si>
    <t>8301E100E91400070F564258F44882D06500D146040A307B26B0</t>
  </si>
  <si>
    <t>8301E100E91400450F564258F44882D06500D146040A307B26B0</t>
  </si>
  <si>
    <t>8301e100E91400470F564258F44882D06500D146040A307B26B0</t>
  </si>
  <si>
    <t>8301E100E91400490F564258F44882D06500D146040A307B26B0</t>
  </si>
  <si>
    <t>8301E100E914004C0F515D58F44882D06500D14657FF307B00B0</t>
  </si>
  <si>
    <t>8301E100E914004FD037F0D23D0213060EF58983510EE40C80BB</t>
  </si>
  <si>
    <t>8301E100E91400680F404358F44882D0653FD1462AF6307BA1B0</t>
  </si>
  <si>
    <t>8301e100E914006AD037F0D23D040F010EED8983510EE70C80B0</t>
  </si>
  <si>
    <t>8301E100E914007F0F5D4458F44882D0650AD14602C8307B00B0</t>
  </si>
  <si>
    <t>8301E200E914004C0F515D58F44882D06500D14657FF307B00B0</t>
  </si>
  <si>
    <t>Very weird strobing</t>
  </si>
  <si>
    <t>8301E100E90500220EF3BA</t>
  </si>
  <si>
    <t>Chase down</t>
  </si>
  <si>
    <t>8301E200E90500220EE2BA</t>
  </si>
  <si>
    <t>8301E100E90500220EEEBA</t>
  </si>
  <si>
    <t>8301E200E90900230FBDAEB3A2B9BB</t>
  </si>
  <si>
    <t>8301E200E90F00480EEF7AEC5C0D2814281448ABB0</t>
  </si>
  <si>
    <t>8301E100E90600220F5154B7</t>
  </si>
  <si>
    <t>8301E200E91100660F44445BF04040374894D13D051EB0</t>
  </si>
  <si>
    <t>8301E100E90E00210FBBBBBBBBBB59190248AEB8</t>
  </si>
  <si>
    <t>8301E200E90E00210FBBBBBBBBBB59190248AEB0</t>
  </si>
  <si>
    <t>8301E100E90E00210FBBBBBBBBBB59190248AEB0</t>
  </si>
  <si>
    <t>8301E200E91400110F545158F44882D06511D1462A02307B33BA</t>
  </si>
  <si>
    <t>8301E100E91000010F5353F5A0D037F2D241C60500B0</t>
  </si>
  <si>
    <t>8301E200E91000010F5353F5A0D037F2D241C60500B0</t>
  </si>
  <si>
    <t>8301E100E90500220EE4B0</t>
  </si>
  <si>
    <t>8301E200E909004F0FB3A3AEAEA3B0</t>
  </si>
  <si>
    <t>Colorloop . I think this may be specific colors</t>
  </si>
  <si>
    <t>8301E100E90F004F0F4F41580F488DD246020F55B0</t>
  </si>
  <si>
    <t>8301E200E90900220FAFB4B0B0B4BA</t>
  </si>
  <si>
    <t>8301E100E91100540F545158F44882D1460507D06532B0</t>
  </si>
  <si>
    <t>8301E100E90900120FBDA2A2AEAEB0</t>
  </si>
  <si>
    <t>8301E100E90900120FBDA2A2AEAEB5</t>
  </si>
  <si>
    <t>8301E200E90F00010F555B5807488DD2462A0717B0</t>
  </si>
  <si>
    <t>8301E100E91100480F445D58F44882D146050FD06500B0</t>
  </si>
  <si>
    <t>8301E100E91100010F54535BF04040374894D13D0905B0</t>
  </si>
  <si>
    <t>8301E200E91100010F54535BF04040374894D13D0905B0</t>
  </si>
  <si>
    <t>8301E100E911004A0F515D58F44882D146050FD06500B0</t>
  </si>
  <si>
    <t>8301E200E91400550F515D58F44882D0653FD146051E307B00B0</t>
  </si>
  <si>
    <t>8301E100E91000544897D00E80D146060F30D04E00B0</t>
  </si>
  <si>
    <t>8301E200E90C00C20FBDAEB3A2B9307BFBB0</t>
  </si>
  <si>
    <t>8301E200E90900A80FAFB4B0B0B4BA</t>
  </si>
  <si>
    <t>8301E90800B50FA8A3B3B3A3</t>
  </si>
  <si>
    <t>8301E91300B60F404458F44882D06519D146060A307BFF</t>
  </si>
  <si>
    <t>Three Zone</t>
  </si>
  <si>
    <t>Colorloop</t>
  </si>
  <si>
    <t>8301E200E910006F4897D00E80D146091930D04E00B0</t>
  </si>
  <si>
    <t>5-Zones?</t>
  </si>
  <si>
    <t>Sync?</t>
  </si>
  <si>
    <t>Cross-fade</t>
  </si>
  <si>
    <t>Inner/Outer</t>
  </si>
  <si>
    <t>N</t>
  </si>
  <si>
    <t>Y</t>
  </si>
  <si>
    <t>Flicker, Down</t>
  </si>
  <si>
    <t>Flicker is extremely faint, inner/outer</t>
  </si>
  <si>
    <t>Up, Sawtooth</t>
  </si>
  <si>
    <t>Cross-saw</t>
  </si>
  <si>
    <t>Inner/outer</t>
  </si>
  <si>
    <t>Between two defined colors</t>
  </si>
  <si>
    <t>1-Zone</t>
  </si>
  <si>
    <t>5-Zones, with a fade</t>
  </si>
  <si>
    <t>5-Zones</t>
  </si>
  <si>
    <t>Cross-Saw</t>
  </si>
  <si>
    <t>5-zone</t>
  </si>
  <si>
    <t>5-zones, async</t>
  </si>
  <si>
    <t>Full, RGB</t>
  </si>
  <si>
    <t>5-zones, sync</t>
  </si>
  <si>
    <t>5 zones</t>
  </si>
  <si>
    <t>5-Zones, sync</t>
  </si>
  <si>
    <t>Has some chase-like properties</t>
  </si>
  <si>
    <t>Layout</t>
  </si>
  <si>
    <t>Pattern?</t>
  </si>
  <si>
    <t># of Flashes</t>
  </si>
  <si>
    <t>All in sync, fades all the way to black</t>
  </si>
  <si>
    <t>Never fades all the way to black</t>
  </si>
  <si>
    <t>5 zones, async</t>
  </si>
  <si>
    <t>0.5s</t>
  </si>
  <si>
    <t>Flicker Chase</t>
  </si>
  <si>
    <t>Alternating on, other is black</t>
  </si>
  <si>
    <t>All in sync</t>
  </si>
  <si>
    <t>Cuts off</t>
  </si>
  <si>
    <t>All in sync, Cuts off</t>
  </si>
  <si>
    <t>Pulse/Flicker. Outer will pulse to black; inner flickers</t>
  </si>
  <si>
    <t>Inner/outer alternating on, other is black</t>
  </si>
  <si>
    <t>Outer Only</t>
  </si>
  <si>
    <t>Outer will pulse to black; inner flickers</t>
  </si>
  <si>
    <t>Outer Only, very fast</t>
  </si>
  <si>
    <t>Seems to sample between blends of two colors</t>
  </si>
  <si>
    <t>Seems like its two colors plus a 75/25 blend of them</t>
  </si>
  <si>
    <t>I think black is just a placeholder</t>
  </si>
  <si>
    <t>Black seems to get swallowed</t>
  </si>
  <si>
    <t>Inner/outer. Outer dim</t>
  </si>
  <si>
    <t>Holds, then fades ut</t>
  </si>
  <si>
    <t>Glow, Inner/Outer</t>
  </si>
  <si>
    <t>Strobe. Extended strobe Outer/Inner</t>
  </si>
  <si>
    <t>Colorloop. I think this may be specific colors</t>
  </si>
  <si>
    <t xml:space="preserve">Colorloop </t>
  </si>
  <si>
    <t>Pulse; Different devices show different colors; 0x0E seems to be color marker</t>
  </si>
  <si>
    <t>Glow; Different devices show different colors, but the colors are consistent, 0x0E seems to be a color marker</t>
  </si>
  <si>
    <t>1 zone</t>
  </si>
  <si>
    <t>Outer/Inner</t>
  </si>
  <si>
    <t>5 zones, async, very slow</t>
  </si>
  <si>
    <t>Outer Only, extremely fast</t>
  </si>
  <si>
    <t>Pulse/Flicker</t>
  </si>
  <si>
    <t>Circle, Down</t>
  </si>
  <si>
    <t>Circle, Up, Sawtooth</t>
  </si>
  <si>
    <t>Colorcycle</t>
  </si>
  <si>
    <t>All-one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</si>
</sst>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43">
    <font>
      <sz val="10.0"/>
      <color rgb="FF000000"/>
      <name val="Arial"/>
      <scheme val="minor"/>
    </font>
    <font>
      <color rgb="FFFFFFFF"/>
      <name val="Arial"/>
      <scheme val="minor"/>
    </font>
    <font>
      <b/>
      <color theme="1"/>
      <name val="Arial"/>
      <scheme val="minor"/>
    </font>
    <font>
      <color theme="1"/>
      <name val="Arial"/>
      <scheme val="minor"/>
    </font>
    <font>
      <b/>
      <color theme="1"/>
      <name val="Courier New"/>
    </font>
    <font>
      <color theme="1"/>
      <name val="Arial"/>
    </font>
    <font>
      <b/>
      <u/>
      <color theme="1"/>
      <name val="Courier New"/>
    </font>
    <font>
      <b/>
      <u/>
      <color theme="1"/>
      <name val="Courier New"/>
    </font>
    <font>
      <u/>
      <color theme="1"/>
      <name val="Arial"/>
      <scheme val="minor"/>
    </font>
    <font>
      <u/>
      <color theme="1"/>
      <name val="Arial"/>
    </font>
    <font>
      <u/>
      <color theme="1"/>
      <name val="Arial"/>
      <scheme val="minor"/>
    </font>
    <font>
      <b/>
      <u/>
      <color theme="1"/>
      <name val="Courier New"/>
    </font>
    <font>
      <b/>
      <u/>
      <color theme="1"/>
      <name val="Courier New"/>
    </font>
    <font>
      <b/>
      <u/>
      <color theme="1"/>
      <name val="Courier New"/>
    </font>
    <font>
      <b/>
      <u/>
      <color theme="1"/>
      <name val="Courier New"/>
    </font>
    <font>
      <b/>
      <u/>
      <color theme="1"/>
      <name val="Courier New"/>
    </font>
    <font>
      <b/>
      <u/>
      <color theme="1"/>
      <name val="Courier New"/>
    </font>
    <font>
      <b/>
      <u/>
      <color theme="1"/>
      <name val="Courier New"/>
    </font>
    <font>
      <b/>
      <u/>
      <color theme="1"/>
      <name val="Courier New"/>
    </font>
    <font>
      <b/>
      <u/>
      <color theme="1"/>
      <name val="Courier New"/>
    </font>
    <font>
      <u/>
      <color theme="1"/>
      <name val="Arial"/>
    </font>
    <font>
      <u/>
      <color theme="1"/>
      <name val="Arial"/>
    </font>
    <font>
      <b/>
      <u/>
      <color theme="1"/>
      <name val="Courier New"/>
    </font>
    <font>
      <b/>
      <u/>
      <color theme="1"/>
      <name val="Courier New"/>
    </font>
    <font>
      <u/>
      <color theme="1"/>
      <name val="Arial"/>
    </font>
    <font>
      <b/>
      <u/>
      <color theme="1"/>
      <name val="Courier New"/>
    </font>
    <font>
      <b/>
      <u/>
      <color theme="1"/>
      <name val="Courier New"/>
    </font>
    <font>
      <b/>
      <u/>
      <color theme="1"/>
      <name val="Courier New"/>
    </font>
    <font>
      <u/>
      <color theme="1"/>
      <name val="Arial"/>
      <scheme val="minor"/>
    </font>
    <font>
      <u/>
      <color theme="1"/>
      <name val="Arial"/>
    </font>
    <font>
      <u/>
      <color theme="1"/>
      <name val="Arial"/>
      <scheme val="minor"/>
    </font>
    <font>
      <b/>
      <u/>
      <color theme="1"/>
      <name val="Courier New"/>
    </font>
    <font>
      <b/>
      <u/>
      <color theme="1"/>
      <name val="Courier New"/>
    </font>
    <font>
      <b/>
      <u/>
      <color theme="1"/>
      <name val="Courier New"/>
    </font>
    <font>
      <b/>
      <u/>
      <color theme="1"/>
      <name val="Courier New"/>
    </font>
    <font>
      <b/>
      <u/>
      <color theme="1"/>
      <name val="Courier New"/>
    </font>
    <font>
      <b/>
      <u/>
      <color theme="1"/>
      <name val="Courier New"/>
    </font>
    <font>
      <u/>
      <color theme="1"/>
      <name val="Arial"/>
    </font>
    <font>
      <u/>
      <color theme="1"/>
      <name val="Arial"/>
    </font>
    <font>
      <b/>
      <u/>
      <color theme="1"/>
      <name val="Courier New"/>
    </font>
    <font>
      <b/>
      <u/>
      <color theme="1"/>
      <name val="Courier New"/>
    </font>
    <font>
      <u/>
      <color theme="1"/>
      <name val="Arial"/>
    </font>
    <font>
      <b/>
      <u/>
      <color theme="1"/>
      <name val="Courier New"/>
    </font>
  </fonts>
  <fills count="22">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D9D2E9"/>
        <bgColor rgb="FFD9D2E9"/>
      </patternFill>
    </fill>
    <fill>
      <patternFill patternType="solid">
        <fgColor rgb="FFF4CCCC"/>
        <bgColor rgb="FFF4CCCC"/>
      </patternFill>
    </fill>
    <fill>
      <patternFill patternType="solid">
        <fgColor rgb="FFBDBDBD"/>
        <bgColor rgb="FFBDBDBD"/>
      </patternFill>
    </fill>
    <fill>
      <patternFill patternType="solid">
        <fgColor rgb="FF6AA84F"/>
        <bgColor rgb="FF6AA84F"/>
      </patternFill>
    </fill>
    <fill>
      <patternFill patternType="solid">
        <fgColor rgb="FFE69138"/>
        <bgColor rgb="FFE69138"/>
      </patternFill>
    </fill>
    <fill>
      <patternFill patternType="solid">
        <fgColor rgb="FF6FA8DC"/>
        <bgColor rgb="FF6FA8DC"/>
      </patternFill>
    </fill>
    <fill>
      <patternFill patternType="solid">
        <fgColor rgb="FF8E7CC3"/>
        <bgColor rgb="FF8E7CC3"/>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F3F3F3"/>
        <bgColor rgb="FFF3F3F3"/>
      </patternFill>
    </fill>
    <fill>
      <patternFill patternType="solid">
        <fgColor rgb="FFB6D7A8"/>
        <bgColor rgb="FFB6D7A8"/>
      </patternFill>
    </fill>
    <fill>
      <patternFill patternType="solid">
        <fgColor rgb="FFF9CB9C"/>
        <bgColor rgb="FFF9CB9C"/>
      </patternFill>
    </fill>
    <fill>
      <patternFill patternType="solid">
        <fgColor rgb="FF9FC5E8"/>
        <bgColor rgb="FF9FC5E8"/>
      </patternFill>
    </fill>
    <fill>
      <patternFill patternType="solid">
        <fgColor rgb="FFB4A7D6"/>
        <bgColor rgb="FFB4A7D6"/>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3" fontId="2" numFmtId="0" xfId="0" applyAlignment="1" applyFill="1" applyFont="1">
      <alignment readingOrder="0"/>
    </xf>
    <xf borderId="1" fillId="2" fontId="1" numFmtId="0" xfId="0" applyAlignment="1" applyBorder="1" applyFill="1" applyFont="1">
      <alignment readingOrder="0" shrinkToFit="0" wrapText="1"/>
    </xf>
    <xf borderId="0" fillId="3" fontId="3" numFmtId="0" xfId="0" applyAlignment="1" applyFill="1" applyFont="1">
      <alignment readingOrder="0"/>
    </xf>
    <xf borderId="0" fillId="4" fontId="2" numFmtId="0" xfId="0" applyAlignment="1" applyFill="1" applyFont="1">
      <alignment readingOrder="0"/>
    </xf>
    <xf borderId="0" fillId="4" fontId="3" numFmtId="0" xfId="0" applyAlignment="1" applyFill="1" applyFont="1">
      <alignment readingOrder="0"/>
    </xf>
    <xf borderId="1" fillId="0" fontId="3" numFmtId="0" xfId="0" applyAlignment="1" applyBorder="1" applyFont="1">
      <alignment readingOrder="0"/>
    </xf>
    <xf borderId="0" fillId="5" fontId="2" numFmtId="0" xfId="0" applyAlignment="1" applyFill="1" applyFont="1">
      <alignment readingOrder="0"/>
    </xf>
    <xf borderId="1" fillId="0" fontId="3" numFmtId="0" xfId="0" applyAlignment="1" applyBorder="1" applyFont="1">
      <alignment readingOrder="0" shrinkToFit="0" wrapText="1"/>
    </xf>
    <xf borderId="0" fillId="5" fontId="3" numFmtId="0" xfId="0" applyAlignment="1" applyFill="1" applyFont="1">
      <alignment readingOrder="0"/>
    </xf>
    <xf borderId="0" fillId="6" fontId="2" numFmtId="0" xfId="0" applyAlignment="1" applyFill="1" applyFont="1">
      <alignment readingOrder="0"/>
    </xf>
    <xf borderId="0" fillId="6" fontId="3" numFmtId="0" xfId="0" applyAlignment="1" applyFill="1" applyFont="1">
      <alignment readingOrder="0"/>
    </xf>
    <xf borderId="0" fillId="0" fontId="3" numFmtId="0" xfId="0" applyAlignment="1" applyFont="1">
      <alignment shrinkToFit="0" wrapText="1"/>
    </xf>
    <xf borderId="0" fillId="0" fontId="3" numFmtId="0" xfId="0" applyAlignment="1" applyFont="1">
      <alignment readingOrder="0"/>
    </xf>
    <xf borderId="0" fillId="7" fontId="2" numFmtId="0" xfId="0" applyAlignment="1" applyFill="1" applyFont="1">
      <alignment readingOrder="0"/>
    </xf>
    <xf borderId="0" fillId="0" fontId="3" numFmtId="0" xfId="0" applyAlignment="1" applyFont="1">
      <alignment horizontal="center" readingOrder="0"/>
    </xf>
    <xf borderId="0" fillId="7" fontId="3" numFmtId="0" xfId="0" applyAlignment="1" applyFill="1" applyFont="1">
      <alignment readingOrder="0"/>
    </xf>
    <xf borderId="0" fillId="0" fontId="4" numFmtId="0" xfId="0" applyAlignment="1" applyFont="1">
      <alignment readingOrder="0" vertical="bottom"/>
    </xf>
    <xf borderId="0" fillId="8" fontId="3" numFmtId="0" xfId="0" applyAlignment="1" applyFill="1" applyFont="1">
      <alignment horizontal="center" readingOrder="0"/>
    </xf>
    <xf borderId="0" fillId="8" fontId="3" numFmtId="0" xfId="0" applyAlignment="1" applyFill="1" applyFont="1">
      <alignment readingOrder="0"/>
    </xf>
    <xf borderId="0" fillId="9" fontId="3" numFmtId="0" xfId="0" applyAlignment="1" applyFill="1" applyFont="1">
      <alignment readingOrder="0"/>
    </xf>
    <xf borderId="0" fillId="0" fontId="4" numFmtId="0" xfId="0" applyAlignment="1" applyFont="1">
      <alignment horizontal="center"/>
    </xf>
    <xf borderId="0" fillId="10" fontId="3" numFmtId="0" xfId="0" applyAlignment="1" applyFill="1" applyFont="1">
      <alignment readingOrder="0"/>
    </xf>
    <xf borderId="0" fillId="0" fontId="3" numFmtId="164" xfId="0" applyAlignment="1" applyFont="1" applyNumberFormat="1">
      <alignment readingOrder="0"/>
    </xf>
    <xf borderId="0" fillId="11" fontId="3" numFmtId="0" xfId="0" applyAlignment="1" applyFill="1" applyFont="1">
      <alignment readingOrder="0"/>
    </xf>
    <xf borderId="0" fillId="12" fontId="3" numFmtId="0" xfId="0" applyAlignment="1" applyFill="1" applyFont="1">
      <alignment readingOrder="0"/>
    </xf>
    <xf borderId="0" fillId="0" fontId="4" numFmtId="0" xfId="0" applyFont="1"/>
    <xf borderId="0" fillId="13" fontId="3" numFmtId="0" xfId="0" applyAlignment="1" applyFill="1" applyFont="1">
      <alignment readingOrder="0"/>
    </xf>
    <xf borderId="0" fillId="0" fontId="4" numFmtId="0" xfId="0" applyAlignment="1" applyFont="1">
      <alignment readingOrder="0"/>
    </xf>
    <xf borderId="0" fillId="0" fontId="5" numFmtId="164" xfId="0" applyAlignment="1" applyFont="1" applyNumberFormat="1">
      <alignment horizontal="right" vertical="bottom"/>
    </xf>
    <xf borderId="0" fillId="0" fontId="5" numFmtId="0" xfId="0" applyAlignment="1" applyFont="1">
      <alignment vertical="bottom"/>
    </xf>
    <xf borderId="0" fillId="14" fontId="3" numFmtId="0" xfId="0" applyAlignment="1" applyFill="1" applyFont="1">
      <alignment readingOrder="0"/>
    </xf>
    <xf borderId="0" fillId="15" fontId="4" numFmtId="0" xfId="0" applyAlignment="1" applyFill="1" applyFont="1">
      <alignment horizontal="center"/>
    </xf>
    <xf borderId="0" fillId="15" fontId="4" numFmtId="0" xfId="0" applyFill="1" applyFont="1"/>
    <xf borderId="0" fillId="15" fontId="3" numFmtId="0" xfId="0" applyFill="1" applyFont="1"/>
    <xf borderId="0" fillId="15" fontId="3" numFmtId="0" xfId="0" applyAlignment="1" applyFill="1" applyFont="1">
      <alignment readingOrder="0"/>
    </xf>
    <xf borderId="0" fillId="15" fontId="3" numFmtId="164" xfId="0" applyAlignment="1" applyFill="1" applyFont="1" applyNumberFormat="1">
      <alignment readingOrder="0"/>
    </xf>
    <xf borderId="0" fillId="15" fontId="4" numFmtId="0" xfId="0" applyAlignment="1" applyFill="1" applyFont="1">
      <alignment readingOrder="0" vertical="bottom"/>
    </xf>
    <xf borderId="0" fillId="3" fontId="4" numFmtId="0" xfId="0" applyAlignment="1" applyFill="1" applyFont="1">
      <alignment readingOrder="0"/>
    </xf>
    <xf borderId="0" fillId="4" fontId="4" numFmtId="0" xfId="0" applyAlignment="1" applyFill="1" applyFont="1">
      <alignment readingOrder="0"/>
    </xf>
    <xf borderId="0" fillId="15" fontId="5" numFmtId="0" xfId="0" applyAlignment="1" applyFill="1" applyFont="1">
      <alignment vertical="bottom"/>
    </xf>
    <xf borderId="0" fillId="5" fontId="4" numFmtId="0" xfId="0" applyAlignment="1" applyFill="1" applyFont="1">
      <alignment readingOrder="0"/>
    </xf>
    <xf borderId="0" fillId="15" fontId="5" numFmtId="164" xfId="0" applyAlignment="1" applyFill="1" applyFont="1" applyNumberFormat="1">
      <alignment horizontal="right" vertical="bottom"/>
    </xf>
    <xf borderId="0" fillId="15" fontId="4" numFmtId="0" xfId="0" applyAlignment="1" applyFill="1" applyFont="1">
      <alignment readingOrder="0"/>
    </xf>
    <xf borderId="0" fillId="6" fontId="4" numFmtId="0" xfId="0" applyFill="1" applyFont="1"/>
    <xf borderId="0" fillId="5" fontId="4" numFmtId="0" xfId="0" applyFill="1" applyFont="1"/>
    <xf borderId="0" fillId="4" fontId="4" numFmtId="0" xfId="0" applyAlignment="1" applyFill="1" applyFont="1">
      <alignment vertical="bottom"/>
    </xf>
    <xf borderId="0" fillId="6" fontId="4" numFmtId="0" xfId="0" applyAlignment="1" applyFill="1" applyFont="1">
      <alignment readingOrder="0"/>
    </xf>
    <xf borderId="0" fillId="4" fontId="4" numFmtId="0" xfId="0" applyFill="1" applyFont="1"/>
    <xf borderId="0" fillId="7" fontId="4" numFmtId="0" xfId="0" applyFill="1" applyFont="1"/>
    <xf borderId="0" fillId="16" fontId="4" numFmtId="0" xfId="0" applyAlignment="1" applyFill="1" applyFont="1">
      <alignment horizontal="center"/>
    </xf>
    <xf borderId="0" fillId="16" fontId="4" numFmtId="0" xfId="0" applyFill="1" applyFont="1"/>
    <xf borderId="0" fillId="16" fontId="3" numFmtId="0" xfId="0" applyFill="1" applyFont="1"/>
    <xf borderId="0" fillId="16" fontId="5" numFmtId="0" xfId="0" applyAlignment="1" applyFill="1" applyFont="1">
      <alignment vertical="bottom"/>
    </xf>
    <xf borderId="0" fillId="16" fontId="5" numFmtId="164" xfId="0" applyAlignment="1" applyFill="1" applyFont="1" applyNumberFormat="1">
      <alignment horizontal="right" vertical="bottom"/>
    </xf>
    <xf borderId="0" fillId="16" fontId="4" numFmtId="0" xfId="0" applyAlignment="1" applyFill="1" applyFont="1">
      <alignment readingOrder="0"/>
    </xf>
    <xf borderId="0" fillId="17" fontId="4" numFmtId="0" xfId="0" applyAlignment="1" applyFill="1" applyFont="1">
      <alignment readingOrder="0"/>
    </xf>
    <xf borderId="0" fillId="18" fontId="4" numFmtId="0" xfId="0" applyAlignment="1" applyFill="1" applyFont="1">
      <alignment readingOrder="0"/>
    </xf>
    <xf borderId="0" fillId="19" fontId="4" numFmtId="0" xfId="0" applyAlignment="1" applyFill="1" applyFont="1">
      <alignment readingOrder="0"/>
    </xf>
    <xf borderId="0" fillId="20" fontId="4" numFmtId="0" xfId="0" applyFill="1" applyFont="1"/>
    <xf borderId="0" fillId="19" fontId="4" numFmtId="0" xfId="0" applyFill="1" applyFont="1"/>
    <xf borderId="0" fillId="18" fontId="4" numFmtId="0" xfId="0" applyAlignment="1" applyFill="1" applyFont="1">
      <alignment vertical="bottom"/>
    </xf>
    <xf borderId="0" fillId="18" fontId="4" numFmtId="0" xfId="0" applyFill="1" applyFont="1"/>
    <xf borderId="0" fillId="7" fontId="4" numFmtId="0" xfId="0" applyAlignment="1" applyFill="1" applyFont="1">
      <alignment vertical="bottom"/>
    </xf>
    <xf borderId="0" fillId="16" fontId="3" numFmtId="0" xfId="0" applyAlignment="1" applyFill="1" applyFont="1">
      <alignment readingOrder="0"/>
    </xf>
    <xf borderId="0" fillId="21" fontId="4" numFmtId="0" xfId="0" applyFill="1" applyFont="1"/>
    <xf borderId="0" fillId="16" fontId="3" numFmtId="164" xfId="0" applyAlignment="1" applyFill="1" applyFont="1" applyNumberFormat="1">
      <alignment readingOrder="0"/>
    </xf>
    <xf borderId="0" fillId="16" fontId="4" numFmtId="0" xfId="0" applyAlignment="1" applyFill="1" applyFont="1">
      <alignment readingOrder="0" vertical="bottom"/>
    </xf>
    <xf borderId="0" fillId="15" fontId="5" numFmtId="0" xfId="0" applyAlignment="1" applyFill="1" applyFont="1">
      <alignment readingOrder="0" vertical="bottom"/>
    </xf>
    <xf borderId="0" fillId="0" fontId="5" numFmtId="0" xfId="0" applyAlignment="1" applyFont="1">
      <alignment readingOrder="0" vertical="bottom"/>
    </xf>
    <xf borderId="0" fillId="20" fontId="4" numFmtId="0" xfId="0" applyAlignment="1" applyFill="1" applyFont="1">
      <alignment readingOrder="0"/>
    </xf>
    <xf borderId="0" fillId="6" fontId="4" numFmtId="0" xfId="0" applyAlignment="1" applyFill="1" applyFont="1">
      <alignment vertical="bottom"/>
    </xf>
    <xf borderId="0" fillId="4" fontId="4" numFmtId="0" xfId="0" applyAlignment="1" applyFill="1" applyFont="1">
      <alignment horizontal="right" readingOrder="0" vertical="bottom"/>
    </xf>
    <xf borderId="0" fillId="21" fontId="4" numFmtId="0" xfId="0" applyAlignment="1" applyFill="1" applyFont="1">
      <alignment vertical="bottom"/>
    </xf>
    <xf borderId="0" fillId="7" fontId="4" numFmtId="0" xfId="0" applyAlignment="1" applyFill="1" applyFont="1">
      <alignment readingOrder="0"/>
    </xf>
    <xf borderId="0" fillId="0" fontId="5" numFmtId="0" xfId="0" applyAlignment="1" applyFont="1">
      <alignment vertical="bottom"/>
    </xf>
    <xf borderId="0" fillId="5" fontId="4" numFmtId="0" xfId="0" applyAlignment="1" applyFill="1" applyFont="1">
      <alignment horizontal="right" vertical="bottom"/>
    </xf>
    <xf borderId="0" fillId="5" fontId="4" numFmtId="0" xfId="0" applyAlignment="1" applyFill="1" applyFont="1">
      <alignment vertical="bottom"/>
    </xf>
    <xf borderId="0" fillId="6" fontId="5" numFmtId="0" xfId="0" applyAlignment="1" applyFill="1" applyFont="1">
      <alignment vertical="bottom"/>
    </xf>
    <xf borderId="0" fillId="5" fontId="5" numFmtId="0" xfId="0" applyAlignment="1" applyFill="1" applyFont="1">
      <alignment vertical="bottom"/>
    </xf>
    <xf borderId="0" fillId="4" fontId="4" numFmtId="0" xfId="0" applyAlignment="1" applyFill="1" applyFont="1">
      <alignment horizontal="right" vertical="bottom"/>
    </xf>
    <xf borderId="0" fillId="19" fontId="4" numFmtId="0" xfId="0" applyAlignment="1" applyFill="1" applyFont="1">
      <alignment horizontal="right" vertical="bottom"/>
    </xf>
    <xf borderId="0" fillId="19" fontId="4" numFmtId="0" xfId="0" applyAlignment="1" applyFill="1" applyFont="1">
      <alignment vertical="bottom"/>
    </xf>
    <xf borderId="0" fillId="20" fontId="4" numFmtId="0" xfId="0" applyAlignment="1" applyFill="1" applyFont="1">
      <alignment vertical="bottom"/>
    </xf>
    <xf borderId="0" fillId="20" fontId="5" numFmtId="0" xfId="0" applyAlignment="1" applyFill="1" applyFont="1">
      <alignment vertical="bottom"/>
    </xf>
    <xf borderId="0" fillId="19" fontId="5" numFmtId="0" xfId="0" applyAlignment="1" applyFill="1" applyFont="1">
      <alignment vertical="bottom"/>
    </xf>
    <xf borderId="0" fillId="18" fontId="4" numFmtId="0" xfId="0" applyAlignment="1" applyFill="1" applyFont="1">
      <alignment horizontal="right" vertical="bottom"/>
    </xf>
    <xf borderId="0" fillId="21" fontId="4" numFmtId="0" xfId="0" applyAlignment="1" applyFill="1" applyFont="1">
      <alignment readingOrder="0"/>
    </xf>
    <xf borderId="0" fillId="16" fontId="5" numFmtId="0" xfId="0" applyAlignment="1" applyFill="1" applyFont="1">
      <alignment readingOrder="0" vertical="bottom"/>
    </xf>
    <xf borderId="0" fillId="18" fontId="4" numFmtId="0" xfId="0" applyAlignment="1" applyFill="1" applyFont="1">
      <alignment horizontal="right" readingOrder="0" vertical="bottom"/>
    </xf>
    <xf borderId="0" fillId="17" fontId="4" numFmtId="0" xfId="0" applyAlignment="1" applyFill="1" applyFont="1">
      <alignment vertical="bottom"/>
    </xf>
    <xf borderId="0" fillId="3" fontId="4" numFmtId="0" xfId="0" applyAlignment="1" applyFill="1" applyFont="1">
      <alignment vertical="bottom"/>
    </xf>
    <xf borderId="0" fillId="4" fontId="5" numFmtId="0" xfId="0" applyAlignment="1" applyFill="1" applyFont="1">
      <alignment vertical="bottom"/>
    </xf>
    <xf borderId="0" fillId="18" fontId="5" numFmtId="0" xfId="0" applyAlignment="1" applyFill="1" applyFont="1">
      <alignment vertical="bottom"/>
    </xf>
    <xf borderId="0" fillId="15" fontId="4" numFmtId="0" xfId="0" applyAlignment="1" applyFill="1" applyFont="1">
      <alignment horizontal="center" vertical="bottom"/>
    </xf>
    <xf borderId="0" fillId="15" fontId="4" numFmtId="0" xfId="0" applyAlignment="1" applyFill="1" applyFont="1">
      <alignment vertical="bottom"/>
    </xf>
    <xf borderId="0" fillId="15" fontId="4" numFmtId="0" xfId="0" applyAlignment="1" applyFill="1" applyFont="1">
      <alignment vertical="bottom"/>
    </xf>
    <xf borderId="0" fillId="7" fontId="5" numFmtId="0" xfId="0" applyAlignment="1" applyFill="1" applyFont="1">
      <alignment vertical="bottom"/>
    </xf>
    <xf borderId="0" fillId="16" fontId="3" numFmtId="165" xfId="0" applyAlignment="1" applyFill="1" applyFont="1" applyNumberFormat="1">
      <alignment readingOrder="0"/>
    </xf>
    <xf borderId="0" fillId="15" fontId="6" numFmtId="0" xfId="0" applyAlignment="1" applyFill="1" applyFont="1">
      <alignment horizontal="center"/>
    </xf>
    <xf borderId="0" fillId="15" fontId="7" numFmtId="0" xfId="0" applyFill="1" applyFont="1"/>
    <xf borderId="0" fillId="15" fontId="8" numFmtId="0" xfId="0" applyAlignment="1" applyFill="1" applyFont="1">
      <alignment readingOrder="0"/>
    </xf>
    <xf borderId="0" fillId="15" fontId="9" numFmtId="0" xfId="0" applyAlignment="1" applyFill="1" applyFont="1">
      <alignment readingOrder="0" vertical="bottom"/>
    </xf>
    <xf borderId="0" fillId="15" fontId="10" numFmtId="164" xfId="0" applyAlignment="1" applyFill="1" applyFont="1" applyNumberFormat="1">
      <alignment readingOrder="0"/>
    </xf>
    <xf borderId="0" fillId="15" fontId="11" numFmtId="0" xfId="0" applyAlignment="1" applyFill="1" applyFont="1">
      <alignment readingOrder="0" vertical="bottom"/>
    </xf>
    <xf borderId="0" fillId="3" fontId="12" numFmtId="0" xfId="0" applyAlignment="1" applyFill="1" applyFont="1">
      <alignment readingOrder="0"/>
    </xf>
    <xf borderId="0" fillId="4" fontId="13" numFmtId="0" xfId="0" applyAlignment="1" applyFill="1" applyFont="1">
      <alignment readingOrder="0"/>
    </xf>
    <xf borderId="0" fillId="5" fontId="14" numFmtId="0" xfId="0" applyAlignment="1" applyFill="1" applyFont="1">
      <alignment readingOrder="0"/>
    </xf>
    <xf borderId="0" fillId="6" fontId="15" numFmtId="0" xfId="0" applyAlignment="1" applyFill="1" applyFont="1">
      <alignment readingOrder="0"/>
    </xf>
    <xf borderId="0" fillId="7" fontId="16" numFmtId="0" xfId="0" applyAlignment="1" applyFill="1" applyFont="1">
      <alignment readingOrder="0"/>
    </xf>
    <xf borderId="0" fillId="16" fontId="4" numFmtId="0" xfId="0" applyAlignment="1" applyFill="1" applyFont="1">
      <alignment horizontal="center"/>
    </xf>
    <xf borderId="0" fillId="16" fontId="4" numFmtId="0" xfId="0" applyFill="1" applyFont="1"/>
    <xf borderId="0" fillId="16" fontId="3" numFmtId="0" xfId="0" applyAlignment="1" applyFill="1" applyFont="1">
      <alignment readingOrder="0"/>
    </xf>
    <xf borderId="0" fillId="16" fontId="3" numFmtId="164" xfId="0" applyAlignment="1" applyFill="1" applyFont="1" applyNumberFormat="1">
      <alignment readingOrder="0"/>
    </xf>
    <xf borderId="0" fillId="16" fontId="4" numFmtId="0" xfId="0" applyAlignment="1" applyFill="1" applyFont="1">
      <alignment readingOrder="0" vertical="bottom"/>
    </xf>
    <xf borderId="0" fillId="17" fontId="4" numFmtId="0" xfId="0" applyAlignment="1" applyFill="1" applyFont="1">
      <alignment readingOrder="0"/>
    </xf>
    <xf borderId="0" fillId="18" fontId="4" numFmtId="0" xfId="0" applyAlignment="1" applyFill="1" applyFont="1">
      <alignment readingOrder="0"/>
    </xf>
    <xf borderId="0" fillId="19" fontId="4" numFmtId="0" xfId="0" applyAlignment="1" applyFill="1" applyFont="1">
      <alignment horizontal="right" vertical="bottom"/>
    </xf>
    <xf borderId="0" fillId="19" fontId="4" numFmtId="0" xfId="0" applyAlignment="1" applyFill="1" applyFont="1">
      <alignment vertical="bottom"/>
    </xf>
    <xf borderId="0" fillId="20" fontId="4" numFmtId="0" xfId="0" applyAlignment="1" applyFill="1" applyFont="1">
      <alignment vertical="bottom"/>
    </xf>
    <xf borderId="0" fillId="20" fontId="5" numFmtId="0" xfId="0" applyAlignment="1" applyFill="1" applyFont="1">
      <alignment vertical="bottom"/>
    </xf>
    <xf borderId="0" fillId="19" fontId="5" numFmtId="0" xfId="0" applyAlignment="1" applyFill="1" applyFont="1">
      <alignment vertical="bottom"/>
    </xf>
    <xf borderId="0" fillId="18" fontId="4" numFmtId="0" xfId="0" applyAlignment="1" applyFill="1" applyFont="1">
      <alignment horizontal="right" vertical="bottom"/>
    </xf>
    <xf borderId="0" fillId="18" fontId="4" numFmtId="0" xfId="0" applyAlignment="1" applyFill="1" applyFont="1">
      <alignment vertical="bottom"/>
    </xf>
    <xf borderId="0" fillId="18" fontId="5" numFmtId="0" xfId="0" applyAlignment="1" applyFill="1" applyFont="1">
      <alignment vertical="bottom"/>
    </xf>
    <xf borderId="0" fillId="21" fontId="4" numFmtId="0" xfId="0" applyAlignment="1" applyFill="1" applyFont="1">
      <alignment vertical="bottom"/>
    </xf>
    <xf borderId="0" fillId="5" fontId="17" numFmtId="0" xfId="0" applyAlignment="1" applyFill="1" applyFont="1">
      <alignment horizontal="right" vertical="bottom"/>
    </xf>
    <xf borderId="0" fillId="5" fontId="18" numFmtId="0" xfId="0" applyAlignment="1" applyFill="1" applyFont="1">
      <alignment vertical="bottom"/>
    </xf>
    <xf borderId="0" fillId="6" fontId="19" numFmtId="0" xfId="0" applyAlignment="1" applyFill="1" applyFont="1">
      <alignment vertical="bottom"/>
    </xf>
    <xf borderId="0" fillId="6" fontId="20" numFmtId="0" xfId="0" applyAlignment="1" applyFill="1" applyFont="1">
      <alignment vertical="bottom"/>
    </xf>
    <xf borderId="0" fillId="5" fontId="21" numFmtId="0" xfId="0" applyAlignment="1" applyFill="1" applyFont="1">
      <alignment vertical="bottom"/>
    </xf>
    <xf borderId="0" fillId="4" fontId="22" numFmtId="0" xfId="0" applyAlignment="1" applyFill="1" applyFont="1">
      <alignment horizontal="right" vertical="bottom"/>
    </xf>
    <xf borderId="0" fillId="4" fontId="23" numFmtId="0" xfId="0" applyAlignment="1" applyFill="1" applyFont="1">
      <alignment vertical="bottom"/>
    </xf>
    <xf borderId="0" fillId="4" fontId="24" numFmtId="0" xfId="0" applyAlignment="1" applyFill="1" applyFont="1">
      <alignment vertical="bottom"/>
    </xf>
    <xf borderId="0" fillId="7" fontId="25" numFmtId="0" xfId="0" applyAlignment="1" applyFill="1" applyFont="1">
      <alignment vertical="bottom"/>
    </xf>
    <xf borderId="0" fillId="16" fontId="26" numFmtId="0" xfId="0" applyAlignment="1" applyFill="1" applyFont="1">
      <alignment horizontal="center"/>
    </xf>
    <xf borderId="0" fillId="16" fontId="27" numFmtId="0" xfId="0" applyFill="1" applyFont="1"/>
    <xf borderId="0" fillId="16" fontId="28" numFmtId="0" xfId="0" applyAlignment="1" applyFill="1" applyFont="1">
      <alignment readingOrder="0"/>
    </xf>
    <xf borderId="0" fillId="16" fontId="29" numFmtId="0" xfId="0" applyAlignment="1" applyFill="1" applyFont="1">
      <alignment readingOrder="0" vertical="bottom"/>
    </xf>
    <xf borderId="0" fillId="16" fontId="30" numFmtId="164" xfId="0" applyAlignment="1" applyFill="1" applyFont="1" applyNumberFormat="1">
      <alignment readingOrder="0"/>
    </xf>
    <xf borderId="0" fillId="16" fontId="31" numFmtId="0" xfId="0" applyAlignment="1" applyFill="1" applyFont="1">
      <alignment readingOrder="0"/>
    </xf>
    <xf borderId="0" fillId="17" fontId="32" numFmtId="0" xfId="0" applyAlignment="1" applyFill="1" applyFont="1">
      <alignment readingOrder="0"/>
    </xf>
    <xf borderId="0" fillId="18" fontId="33" numFmtId="0" xfId="0" applyAlignment="1" applyFill="1" applyFont="1">
      <alignment readingOrder="0"/>
    </xf>
    <xf borderId="0" fillId="19" fontId="34" numFmtId="0" xfId="0" applyAlignment="1" applyFill="1" applyFont="1">
      <alignment horizontal="right" vertical="bottom"/>
    </xf>
    <xf borderId="0" fillId="19" fontId="35" numFmtId="0" xfId="0" applyAlignment="1" applyFill="1" applyFont="1">
      <alignment vertical="bottom"/>
    </xf>
    <xf borderId="0" fillId="20" fontId="36" numFmtId="0" xfId="0" applyAlignment="1" applyFill="1" applyFont="1">
      <alignment vertical="bottom"/>
    </xf>
    <xf borderId="0" fillId="20" fontId="37" numFmtId="0" xfId="0" applyAlignment="1" applyFill="1" applyFont="1">
      <alignment vertical="bottom"/>
    </xf>
    <xf borderId="0" fillId="19" fontId="38" numFmtId="0" xfId="0" applyAlignment="1" applyFill="1" applyFont="1">
      <alignment vertical="bottom"/>
    </xf>
    <xf borderId="0" fillId="18" fontId="39" numFmtId="0" xfId="0" applyAlignment="1" applyFill="1" applyFont="1">
      <alignment horizontal="right" vertical="bottom"/>
    </xf>
    <xf borderId="0" fillId="18" fontId="40" numFmtId="0" xfId="0" applyAlignment="1" applyFill="1" applyFont="1">
      <alignment vertical="bottom"/>
    </xf>
    <xf borderId="0" fillId="18" fontId="41" numFmtId="0" xfId="0" applyAlignment="1" applyFill="1" applyFont="1">
      <alignment vertical="bottom"/>
    </xf>
    <xf borderId="0" fillId="21" fontId="42" numFmtId="0" xfId="0" applyAlignment="1" applyFill="1" applyFont="1">
      <alignment vertical="bottom"/>
    </xf>
    <xf borderId="0" fillId="15" fontId="4" numFmtId="0" xfId="0" applyAlignment="1" applyFill="1" applyFont="1">
      <alignment horizontal="center"/>
    </xf>
    <xf borderId="0" fillId="15" fontId="4" numFmtId="0" xfId="0" applyFill="1" applyFont="1"/>
    <xf borderId="0" fillId="15" fontId="3" numFmtId="0" xfId="0" applyAlignment="1" applyFill="1" applyFont="1">
      <alignment readingOrder="0"/>
    </xf>
    <xf borderId="0" fillId="15" fontId="5" numFmtId="0" xfId="0" applyAlignment="1" applyFill="1" applyFont="1">
      <alignment readingOrder="0" vertical="bottom"/>
    </xf>
    <xf borderId="0" fillId="15" fontId="3" numFmtId="164" xfId="0" applyAlignment="1" applyFill="1" applyFont="1" applyNumberFormat="1">
      <alignment readingOrder="0"/>
    </xf>
    <xf borderId="0" fillId="15" fontId="4" numFmtId="0" xfId="0" applyAlignment="1" applyFill="1" applyFont="1">
      <alignment readingOrder="0"/>
    </xf>
    <xf borderId="0" fillId="3" fontId="4" numFmtId="0" xfId="0" applyAlignment="1" applyFill="1" applyFont="1">
      <alignment readingOrder="0"/>
    </xf>
    <xf borderId="0" fillId="4" fontId="4" numFmtId="0" xfId="0" applyAlignment="1" applyFill="1" applyFont="1">
      <alignment readingOrder="0"/>
    </xf>
    <xf borderId="0" fillId="5" fontId="4" numFmtId="0" xfId="0" applyAlignment="1" applyFill="1" applyFont="1">
      <alignment horizontal="right" vertical="bottom"/>
    </xf>
    <xf borderId="0" fillId="5" fontId="4" numFmtId="0" xfId="0" applyAlignment="1" applyFill="1" applyFont="1">
      <alignment vertical="bottom"/>
    </xf>
    <xf borderId="0" fillId="6" fontId="4" numFmtId="0" xfId="0" applyAlignment="1" applyFill="1" applyFont="1">
      <alignment vertical="bottom"/>
    </xf>
    <xf borderId="0" fillId="6" fontId="5" numFmtId="0" xfId="0" applyAlignment="1" applyFill="1" applyFont="1">
      <alignment vertical="bottom"/>
    </xf>
    <xf borderId="0" fillId="5" fontId="5" numFmtId="0" xfId="0" applyAlignment="1" applyFill="1" applyFont="1">
      <alignment vertical="bottom"/>
    </xf>
    <xf borderId="0" fillId="4" fontId="4" numFmtId="0" xfId="0" applyAlignment="1" applyFill="1" applyFont="1">
      <alignment horizontal="right" vertical="bottom"/>
    </xf>
    <xf borderId="0" fillId="7" fontId="4" numFmtId="0" xfId="0" applyAlignment="1" applyFill="1" applyFont="1">
      <alignment vertical="bottom"/>
    </xf>
    <xf borderId="0" fillId="16" fontId="5" numFmtId="0" xfId="0" applyAlignment="1" applyFill="1" applyFont="1">
      <alignment readingOrder="0" vertical="bottom"/>
    </xf>
    <xf borderId="0" fillId="5" fontId="4" numFmtId="0" xfId="0" applyAlignment="1" applyFill="1" applyFont="1">
      <alignment readingOrder="0" vertical="bottom"/>
    </xf>
    <xf borderId="0" fillId="19" fontId="4" numFmtId="0" xfId="0" applyAlignment="1" applyFill="1" applyFont="1">
      <alignment readingOrder="0"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8.13"/>
    <col customWidth="1" min="5" max="5" width="44.63"/>
  </cols>
  <sheetData>
    <row r="1">
      <c r="A1" s="1" t="s">
        <v>0</v>
      </c>
      <c r="B1" s="3" t="s">
        <v>2</v>
      </c>
      <c r="D1" s="1" t="s">
        <v>4</v>
      </c>
      <c r="E1" s="3" t="s">
        <v>6</v>
      </c>
    </row>
    <row r="2">
      <c r="A2" s="7" t="s">
        <v>10</v>
      </c>
      <c r="B2" s="9" t="s">
        <v>13</v>
      </c>
      <c r="D2" s="7" t="s">
        <v>14</v>
      </c>
      <c r="E2" s="9" t="s">
        <v>15</v>
      </c>
    </row>
    <row r="3">
      <c r="A3" s="7" t="s">
        <v>16</v>
      </c>
      <c r="B3" s="9" t="s">
        <v>17</v>
      </c>
      <c r="D3" s="7" t="s">
        <v>18</v>
      </c>
      <c r="E3" s="9" t="s">
        <v>19</v>
      </c>
    </row>
    <row r="4">
      <c r="A4" s="7" t="s">
        <v>22</v>
      </c>
      <c r="B4" s="9" t="s">
        <v>24</v>
      </c>
      <c r="D4" s="7" t="s">
        <v>25</v>
      </c>
      <c r="E4" s="9" t="s">
        <v>26</v>
      </c>
    </row>
    <row r="5">
      <c r="B5" s="13"/>
      <c r="D5" s="7" t="s">
        <v>30</v>
      </c>
      <c r="E5" s="9" t="s">
        <v>32</v>
      </c>
    </row>
    <row r="6">
      <c r="B6" s="13"/>
      <c r="D6" s="7" t="s">
        <v>36</v>
      </c>
      <c r="E6" s="9" t="s">
        <v>38</v>
      </c>
    </row>
    <row r="7">
      <c r="B7" s="13"/>
      <c r="D7" s="7" t="s">
        <v>42</v>
      </c>
      <c r="E7" s="9" t="s">
        <v>45</v>
      </c>
    </row>
    <row r="8">
      <c r="B8" s="13"/>
      <c r="D8" s="7" t="s">
        <v>47</v>
      </c>
      <c r="E8" s="9" t="s">
        <v>49</v>
      </c>
    </row>
    <row r="9">
      <c r="B9" s="13"/>
      <c r="D9" s="7" t="s">
        <v>51</v>
      </c>
      <c r="E9" s="9" t="s">
        <v>53</v>
      </c>
    </row>
    <row r="10">
      <c r="B10" s="13"/>
      <c r="D10" s="7" t="s">
        <v>55</v>
      </c>
      <c r="E10" s="9" t="s">
        <v>56</v>
      </c>
    </row>
    <row r="11">
      <c r="B11" s="13"/>
      <c r="D11" s="7" t="s">
        <v>58</v>
      </c>
      <c r="E11" s="9" t="s">
        <v>59</v>
      </c>
    </row>
    <row r="12">
      <c r="B12" s="13"/>
      <c r="D12" s="7" t="s">
        <v>60</v>
      </c>
      <c r="E12" s="9" t="s">
        <v>61</v>
      </c>
    </row>
    <row r="13">
      <c r="B13" s="13"/>
      <c r="D13" s="7" t="s">
        <v>63</v>
      </c>
      <c r="E13" s="9" t="s">
        <v>65</v>
      </c>
    </row>
    <row r="14">
      <c r="B14" s="13"/>
      <c r="D14" s="7" t="s">
        <v>66</v>
      </c>
      <c r="E14" s="9" t="s">
        <v>68</v>
      </c>
    </row>
    <row r="15">
      <c r="B15" s="13"/>
      <c r="E15"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6.25"/>
  </cols>
  <sheetData>
    <row r="1">
      <c r="A1" s="2" t="s">
        <v>1</v>
      </c>
      <c r="B1" s="4" t="s">
        <v>3</v>
      </c>
    </row>
    <row r="2">
      <c r="A2" s="5" t="s">
        <v>5</v>
      </c>
      <c r="B2" s="6" t="s">
        <v>7</v>
      </c>
    </row>
    <row r="3">
      <c r="A3" s="5" t="s">
        <v>8</v>
      </c>
      <c r="B3" s="6" t="s">
        <v>9</v>
      </c>
    </row>
    <row r="4">
      <c r="A4" s="8" t="s">
        <v>11</v>
      </c>
      <c r="B4" s="10" t="s">
        <v>12</v>
      </c>
    </row>
    <row r="5">
      <c r="A5" s="8" t="s">
        <v>20</v>
      </c>
      <c r="B5" s="10" t="s">
        <v>21</v>
      </c>
    </row>
    <row r="6">
      <c r="A6" s="11" t="s">
        <v>23</v>
      </c>
      <c r="B6" s="12" t="s">
        <v>27</v>
      </c>
    </row>
    <row r="7">
      <c r="A7" s="11" t="s">
        <v>28</v>
      </c>
      <c r="B7" s="12" t="s">
        <v>29</v>
      </c>
    </row>
    <row r="8">
      <c r="A8" s="11" t="s">
        <v>31</v>
      </c>
      <c r="B8" s="12" t="s">
        <v>33</v>
      </c>
    </row>
    <row r="9">
      <c r="A9" s="8" t="s">
        <v>34</v>
      </c>
      <c r="B9" s="10" t="s">
        <v>35</v>
      </c>
    </row>
    <row r="10">
      <c r="A10" s="11" t="s">
        <v>37</v>
      </c>
      <c r="B10" s="12" t="s">
        <v>39</v>
      </c>
    </row>
    <row r="11">
      <c r="A11" s="11" t="s">
        <v>40</v>
      </c>
      <c r="B11" s="12" t="s">
        <v>41</v>
      </c>
    </row>
    <row r="12">
      <c r="A12" s="11" t="s">
        <v>43</v>
      </c>
      <c r="B12" s="12" t="s">
        <v>46</v>
      </c>
    </row>
    <row r="13">
      <c r="A13" s="5" t="s">
        <v>48</v>
      </c>
      <c r="B13" s="6" t="s">
        <v>50</v>
      </c>
    </row>
    <row r="14">
      <c r="A14" s="5" t="s">
        <v>52</v>
      </c>
      <c r="B14" s="6" t="s">
        <v>54</v>
      </c>
    </row>
    <row r="15">
      <c r="A15" s="15" t="s">
        <v>57</v>
      </c>
      <c r="B15" s="17" t="s">
        <v>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min="5" max="5" width="10.5"/>
    <col customWidth="1" min="6" max="6" width="14.75"/>
    <col customWidth="1" min="7" max="7" width="9.5"/>
    <col customWidth="1" min="8" max="8" width="53.0"/>
    <col customWidth="1" min="9" max="9" width="12.63"/>
    <col customWidth="1" min="10" max="10" width="9.0"/>
    <col customWidth="1" min="11" max="11" width="5.88"/>
    <col customWidth="1" min="12" max="12" width="5.75"/>
    <col customWidth="1" min="13" max="13" width="4.38"/>
    <col customWidth="1" min="14" max="14" width="7.0"/>
    <col customWidth="1" min="15" max="17" width="5.63"/>
    <col customWidth="1" min="18" max="18" width="7.0"/>
    <col customWidth="1" min="19" max="21" width="5.63"/>
    <col customWidth="1" min="22" max="22" width="7.25"/>
    <col customWidth="1" min="23" max="33" width="6.38"/>
    <col customWidth="1" min="34" max="34" width="6.25"/>
    <col customWidth="1" min="35" max="39" width="6.38"/>
    <col customWidth="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c r="A2" s="33" t="str">
        <f>IFERROR(__xludf.DUMMYFUNCTION("LEFT(REGEXREPLACE($H2, ""(?i)^8301(E000|E100|E200|E300)?"", """"), 4)"),"CD07")</f>
        <v>CD07</v>
      </c>
      <c r="B2" s="34" t="str">
        <f>IFERROR(__xludf.DUMMYFUNCTION("REGEXREPLACE($H2, ""(?i)^8301(E000|E100|E200|E300)?"", """")"),"CD070E071C08000000")</f>
        <v>CD070E071C08000000</v>
      </c>
      <c r="C2" s="35"/>
      <c r="D2" s="35"/>
      <c r="E2" s="36" t="s">
        <v>75</v>
      </c>
      <c r="F2" s="36" t="s">
        <v>76</v>
      </c>
      <c r="G2" s="37">
        <v>46208.0</v>
      </c>
      <c r="H2" s="38" t="s">
        <v>72</v>
      </c>
      <c r="I2" s="35"/>
      <c r="J2" s="39" t="str">
        <f t="shared" ref="J2:J99" si="2">"0x"&amp;mid($B2,3,2)</f>
        <v>0x07</v>
      </c>
      <c r="K2" s="40" t="str">
        <f t="shared" ref="K2:K99" si="3">"0x"&amp;MID($B2,5,2)</f>
        <v>0x0E</v>
      </c>
      <c r="L2" s="40" t="str">
        <f t="shared" ref="L2:L99" si="4">"0x"&amp;MID($B2,7,2)</f>
        <v>0x07</v>
      </c>
      <c r="M2" s="42">
        <v>1.0</v>
      </c>
      <c r="N2" s="42"/>
      <c r="O2" s="45" t="str">
        <f t="shared" ref="O2:O3" si="5">"0x"&amp;MID($B2,9,2)</f>
        <v>0x1C</v>
      </c>
      <c r="P2" s="45"/>
      <c r="Q2" s="45"/>
      <c r="R2" s="46"/>
      <c r="S2" s="45"/>
      <c r="T2" s="45"/>
      <c r="U2" s="45"/>
      <c r="V2" s="40">
        <v>11.0</v>
      </c>
      <c r="W2" s="47" t="str">
        <f t="shared" ref="W2:Z2" si="1">"0x" &amp; MID($B2,$V2  + 2*(COLUMN() - COLUMN($W2)), 2)</f>
        <v>0x08</v>
      </c>
      <c r="X2" s="47" t="str">
        <f t="shared" si="1"/>
        <v>0x00</v>
      </c>
      <c r="Y2" s="47" t="str">
        <f t="shared" si="1"/>
        <v>0x00</v>
      </c>
      <c r="Z2" s="47" t="str">
        <f t="shared" si="1"/>
        <v>0x00</v>
      </c>
      <c r="AA2" s="49"/>
      <c r="AB2" s="49"/>
      <c r="AC2" s="49"/>
      <c r="AD2" s="49"/>
      <c r="AE2" s="49"/>
      <c r="AF2" s="49"/>
      <c r="AG2" s="49"/>
      <c r="AH2" s="49"/>
      <c r="AI2" s="49"/>
      <c r="AJ2" s="49"/>
      <c r="AK2" s="49"/>
      <c r="AL2" s="49"/>
      <c r="AM2" s="49"/>
      <c r="AN2" s="50"/>
    </row>
    <row r="3">
      <c r="A3" s="51" t="str">
        <f>IFERROR(__xludf.DUMMYFUNCTION("LEFT(REGEXREPLACE($H3, ""(?i)^8301(E000|E100|E200|E300)?"", """"), 4)"),"CD07")</f>
        <v>CD07</v>
      </c>
      <c r="B3" s="52" t="str">
        <f>IFERROR(__xludf.DUMMYFUNCTION("REGEXREPLACE($H3, ""(?i)^8301(E000|E100|E200|E300)?"", """")"),"CD070E070228000000")</f>
        <v>CD070E070228000000</v>
      </c>
      <c r="C3" s="53"/>
      <c r="D3" s="53"/>
      <c r="E3" s="54" t="s">
        <v>75</v>
      </c>
      <c r="F3" s="54" t="s">
        <v>76</v>
      </c>
      <c r="G3" s="55">
        <v>46235.0</v>
      </c>
      <c r="H3" s="56" t="s">
        <v>92</v>
      </c>
      <c r="I3" s="53"/>
      <c r="J3" s="57" t="str">
        <f t="shared" si="2"/>
        <v>0x07</v>
      </c>
      <c r="K3" s="58" t="str">
        <f t="shared" si="3"/>
        <v>0x0E</v>
      </c>
      <c r="L3" s="58" t="str">
        <f t="shared" si="4"/>
        <v>0x07</v>
      </c>
      <c r="M3" s="59">
        <v>1.0</v>
      </c>
      <c r="N3" s="59"/>
      <c r="O3" s="60" t="str">
        <f t="shared" si="5"/>
        <v>0x02</v>
      </c>
      <c r="P3" s="60"/>
      <c r="Q3" s="60"/>
      <c r="R3" s="61"/>
      <c r="S3" s="60"/>
      <c r="T3" s="60"/>
      <c r="U3" s="60"/>
      <c r="V3" s="58">
        <v>11.0</v>
      </c>
      <c r="W3" s="62" t="str">
        <f t="shared" ref="W3:Z3" si="6">"0x" &amp; MID($B3,$V3  + 2*(COLUMN() - COLUMN($W3)), 2)</f>
        <v>0x28</v>
      </c>
      <c r="X3" s="62" t="str">
        <f t="shared" si="6"/>
        <v>0x00</v>
      </c>
      <c r="Y3" s="62" t="str">
        <f t="shared" si="6"/>
        <v>0x00</v>
      </c>
      <c r="Z3" s="62" t="str">
        <f t="shared" si="6"/>
        <v>0x00</v>
      </c>
      <c r="AA3" s="63"/>
      <c r="AB3" s="63"/>
      <c r="AC3" s="63"/>
      <c r="AD3" s="63"/>
      <c r="AE3" s="63"/>
      <c r="AF3" s="63"/>
      <c r="AG3" s="63"/>
      <c r="AH3" s="63"/>
      <c r="AI3" s="63"/>
      <c r="AJ3" s="63"/>
      <c r="AK3" s="63"/>
      <c r="AL3" s="63"/>
      <c r="AM3" s="63"/>
      <c r="AN3" s="66"/>
    </row>
    <row r="4">
      <c r="A4" s="33" t="str">
        <f>IFERROR(__xludf.DUMMYFUNCTION("LEFT(REGEXREPLACE($H4, ""(?i)^8301(E000|E100|E200|E300)?"", """"), 4)"),"E912")</f>
        <v>E912</v>
      </c>
      <c r="B4" s="34" t="str">
        <f>IFERROR(__xludf.DUMMYFUNCTION("REGEXREPLACE($H4, ""(?i)^8301(E000|E100|E200|E300)?"", """")"),"E91200A329040E160F044897D00EFFD1460625B0")</f>
        <v>E91200A329040E160F044897D00EFFD1460625B0</v>
      </c>
      <c r="C4" s="36" t="s">
        <v>60</v>
      </c>
      <c r="D4" s="36" t="s">
        <v>150</v>
      </c>
      <c r="E4" s="36" t="s">
        <v>129</v>
      </c>
      <c r="F4" s="69" t="s">
        <v>137</v>
      </c>
      <c r="G4" s="37">
        <v>46240.0</v>
      </c>
      <c r="H4" s="44" t="s">
        <v>152</v>
      </c>
      <c r="I4" s="36" t="s">
        <v>153</v>
      </c>
      <c r="J4" s="39" t="str">
        <f t="shared" si="2"/>
        <v>0x12</v>
      </c>
      <c r="K4" s="40" t="str">
        <f t="shared" si="3"/>
        <v>0x00</v>
      </c>
      <c r="L4" s="40" t="str">
        <f t="shared" si="4"/>
        <v>0xA3</v>
      </c>
      <c r="M4" s="42"/>
      <c r="N4" s="42"/>
      <c r="O4" s="48"/>
      <c r="P4" s="48"/>
      <c r="Q4" s="48"/>
      <c r="R4" s="42"/>
      <c r="S4" s="72"/>
      <c r="T4" s="72"/>
      <c r="U4" s="72"/>
      <c r="V4" s="73">
        <v>9.0</v>
      </c>
      <c r="W4" s="47" t="str">
        <f t="shared" ref="W4:AK4" si="7">"0x" &amp; MID($B4,$V4  + 2*(COLUMN() - COLUMN($W4)), 2)</f>
        <v>0x29</v>
      </c>
      <c r="X4" s="47" t="str">
        <f t="shared" si="7"/>
        <v>0x04</v>
      </c>
      <c r="Y4" s="47" t="str">
        <f t="shared" si="7"/>
        <v>0x0E</v>
      </c>
      <c r="Z4" s="47" t="str">
        <f t="shared" si="7"/>
        <v>0x16</v>
      </c>
      <c r="AA4" s="47" t="str">
        <f t="shared" si="7"/>
        <v>0x0F</v>
      </c>
      <c r="AB4" s="47" t="str">
        <f t="shared" si="7"/>
        <v>0x04</v>
      </c>
      <c r="AC4" s="47" t="str">
        <f t="shared" si="7"/>
        <v>0x48</v>
      </c>
      <c r="AD4" s="47" t="str">
        <f t="shared" si="7"/>
        <v>0x97</v>
      </c>
      <c r="AE4" s="47" t="str">
        <f t="shared" si="7"/>
        <v>0xD0</v>
      </c>
      <c r="AF4" s="47" t="str">
        <f t="shared" si="7"/>
        <v>0x0E</v>
      </c>
      <c r="AG4" s="47" t="str">
        <f t="shared" si="7"/>
        <v>0xFF</v>
      </c>
      <c r="AH4" s="47" t="str">
        <f t="shared" si="7"/>
        <v>0xD1</v>
      </c>
      <c r="AI4" s="47" t="str">
        <f t="shared" si="7"/>
        <v>0x46</v>
      </c>
      <c r="AJ4" s="47" t="str">
        <f t="shared" si="7"/>
        <v>0x06</v>
      </c>
      <c r="AK4" s="47" t="str">
        <f t="shared" si="7"/>
        <v>0x25</v>
      </c>
      <c r="AL4" s="47"/>
      <c r="AM4" s="47"/>
      <c r="AN4" s="64" t="str">
        <f>"0x"&amp;MID($B4,39,2)</f>
        <v>0xB0</v>
      </c>
    </row>
    <row r="5">
      <c r="A5" s="51" t="str">
        <f>IFERROR(__xludf.DUMMYFUNCTION("LEFT(REGEXREPLACE($H5, ""(?i)^8301(E000|E100|E200|E300)?"", """"), 4)"),"E90C")</f>
        <v>E90C</v>
      </c>
      <c r="B5" s="52" t="str">
        <f>IFERROR(__xludf.DUMMYFUNCTION("REGEXREPLACE($H5, ""(?i)^8301(E000|E100|E200|E300)?"", """")"),"E90C00460FB5B1B9A4A8307B00B0")</f>
        <v>E90C00460FB5B1B9A4A8307B00B0</v>
      </c>
      <c r="C5" s="65" t="s">
        <v>14</v>
      </c>
      <c r="D5" s="65" t="s">
        <v>118</v>
      </c>
      <c r="E5" s="65" t="s">
        <v>106</v>
      </c>
      <c r="F5" s="65" t="s">
        <v>175</v>
      </c>
      <c r="G5" s="67">
        <v>46220.0</v>
      </c>
      <c r="H5" s="68" t="s">
        <v>177</v>
      </c>
      <c r="I5" s="65"/>
      <c r="J5" s="57" t="str">
        <f t="shared" si="2"/>
        <v>0x0C</v>
      </c>
      <c r="K5" s="58" t="str">
        <f t="shared" si="3"/>
        <v>0x00</v>
      </c>
      <c r="L5" s="58" t="str">
        <f t="shared" si="4"/>
        <v>0x46</v>
      </c>
      <c r="M5" s="59">
        <v>5.0</v>
      </c>
      <c r="N5" s="59" t="str">
        <f t="shared" ref="N5:N20" si="9">"0x"&amp;MID($B5,9,2)</f>
        <v>0x0F</v>
      </c>
      <c r="O5" s="71" t="str">
        <f t="shared" ref="O5:O20" si="10">"0x"&amp;MID($B5,11,2)</f>
        <v>0xB5</v>
      </c>
      <c r="P5" s="71" t="str">
        <f t="shared" ref="P5:P20" si="11">"0x"&amp;MID($B5,13,2)</f>
        <v>0xB1</v>
      </c>
      <c r="Q5" s="71" t="str">
        <f t="shared" ref="Q5:Q19" si="12">"0x"&amp;MID($B5,15,2)</f>
        <v>0xB9</v>
      </c>
      <c r="R5" s="59"/>
      <c r="S5" s="71" t="str">
        <f t="shared" ref="S5:S19" si="13">"0x"&amp;MID($B5,17,2)</f>
        <v>0xA4</v>
      </c>
      <c r="T5" s="71" t="str">
        <f t="shared" ref="T5:T19" si="14">"0x"&amp;MID($B5,19,2)</f>
        <v>0xA8</v>
      </c>
      <c r="U5" s="71"/>
      <c r="V5" s="58">
        <v>21.0</v>
      </c>
      <c r="W5" s="58" t="str">
        <f t="shared" ref="W5:Y5" si="8">"0x" &amp; MID($B5,$V5  + 2*(COLUMN() - COLUMN($W5)), 2)</f>
        <v>0x30</v>
      </c>
      <c r="X5" s="58" t="str">
        <f t="shared" si="8"/>
        <v>0x7B</v>
      </c>
      <c r="Y5" s="58" t="str">
        <f t="shared" si="8"/>
        <v>0x00</v>
      </c>
      <c r="Z5" s="58"/>
      <c r="AA5" s="58"/>
      <c r="AB5" s="58"/>
      <c r="AC5" s="58"/>
      <c r="AD5" s="58"/>
      <c r="AE5" s="58"/>
      <c r="AF5" s="58"/>
      <c r="AG5" s="58"/>
      <c r="AH5" s="58"/>
      <c r="AI5" s="58"/>
      <c r="AJ5" s="58"/>
      <c r="AK5" s="58"/>
      <c r="AL5" s="58"/>
      <c r="AM5" s="58"/>
      <c r="AN5" s="74" t="str">
        <f>"0x"&amp;MID($B5,27,2)</f>
        <v>0xB0</v>
      </c>
    </row>
    <row r="6">
      <c r="A6" s="33" t="str">
        <f>IFERROR(__xludf.DUMMYFUNCTION("LEFT(REGEXREPLACE($H6, ""(?i)^8301(E000|E100|E200|E300)?"", """"), 4)"),"E90B")</f>
        <v>E90B</v>
      </c>
      <c r="B6" s="34" t="str">
        <f>IFERROR(__xludf.DUMMYFUNCTION("REGEXREPLACE($H6, ""(?i)^8301(E000|E100|E200|E300)?"", """")"),"E90B00680FAFB5AFB5BD307B02")</f>
        <v>E90B00680FAFB5AFB5BD307B02</v>
      </c>
      <c r="C6" s="36" t="s">
        <v>14</v>
      </c>
      <c r="D6" s="36" t="s">
        <v>118</v>
      </c>
      <c r="E6" s="36" t="s">
        <v>106</v>
      </c>
      <c r="F6" s="36" t="s">
        <v>107</v>
      </c>
      <c r="G6" s="37">
        <v>46220.0</v>
      </c>
      <c r="H6" s="38" t="s">
        <v>170</v>
      </c>
      <c r="I6" s="36"/>
      <c r="J6" s="39" t="str">
        <f t="shared" si="2"/>
        <v>0x0B</v>
      </c>
      <c r="K6" s="40" t="str">
        <f t="shared" si="3"/>
        <v>0x00</v>
      </c>
      <c r="L6" s="40" t="str">
        <f t="shared" si="4"/>
        <v>0x68</v>
      </c>
      <c r="M6" s="42">
        <v>5.0</v>
      </c>
      <c r="N6" s="42" t="str">
        <f t="shared" si="9"/>
        <v>0x0F</v>
      </c>
      <c r="O6" s="48" t="str">
        <f t="shared" si="10"/>
        <v>0xAF</v>
      </c>
      <c r="P6" s="48" t="str">
        <f t="shared" si="11"/>
        <v>0xB5</v>
      </c>
      <c r="Q6" s="48" t="str">
        <f t="shared" si="12"/>
        <v>0xAF</v>
      </c>
      <c r="R6" s="42"/>
      <c r="S6" s="48" t="str">
        <f t="shared" si="13"/>
        <v>0xB5</v>
      </c>
      <c r="T6" s="48" t="str">
        <f t="shared" si="14"/>
        <v>0xBD</v>
      </c>
      <c r="U6" s="48"/>
      <c r="V6" s="40">
        <v>21.0</v>
      </c>
      <c r="W6" s="47" t="str">
        <f t="shared" ref="W6:Y6" si="15">"0x" &amp; MID($B6,$V6  + 2*(COLUMN() - COLUMN($W6)), 2)</f>
        <v>0x30</v>
      </c>
      <c r="X6" s="47" t="str">
        <f t="shared" si="15"/>
        <v>0x7B</v>
      </c>
      <c r="Y6" s="47" t="str">
        <f t="shared" si="15"/>
        <v>0x02</v>
      </c>
      <c r="Z6" s="47"/>
      <c r="AA6" s="47"/>
      <c r="AB6" s="47"/>
      <c r="AC6" s="47"/>
      <c r="AD6" s="47"/>
      <c r="AE6" s="47"/>
      <c r="AF6" s="40"/>
      <c r="AG6" s="40"/>
      <c r="AH6" s="40"/>
      <c r="AI6" s="40"/>
      <c r="AJ6" s="40"/>
      <c r="AK6" s="40"/>
      <c r="AL6" s="40"/>
      <c r="AM6" s="40"/>
      <c r="AN6" s="75"/>
    </row>
    <row r="7">
      <c r="A7" s="51" t="str">
        <f>IFERROR(__xludf.DUMMYFUNCTION("LEFT(REGEXREPLACE($H7, ""(?i)^8301(E000|E100|E200|E300)?"", """"), 4)"),"E90C")</f>
        <v>E90C</v>
      </c>
      <c r="B7" s="52" t="str">
        <f>IFERROR(__xludf.DUMMYFUNCTION("REGEXREPLACE($H7, ""(?i)^8301(E000|E100|E200|E300)?"", """")"),"E90C00830FB9B1B6B1B6307B07B0")</f>
        <v>E90C00830FB9B1B6B1B6307B07B0</v>
      </c>
      <c r="C7" s="65" t="s">
        <v>14</v>
      </c>
      <c r="D7" s="65" t="s">
        <v>118</v>
      </c>
      <c r="E7" s="65" t="s">
        <v>106</v>
      </c>
      <c r="F7" s="65" t="s">
        <v>175</v>
      </c>
      <c r="G7" s="67">
        <v>46220.0</v>
      </c>
      <c r="H7" s="68" t="s">
        <v>202</v>
      </c>
      <c r="I7" s="65"/>
      <c r="J7" s="57" t="str">
        <f t="shared" si="2"/>
        <v>0x0C</v>
      </c>
      <c r="K7" s="58" t="str">
        <f t="shared" si="3"/>
        <v>0x00</v>
      </c>
      <c r="L7" s="58" t="str">
        <f t="shared" si="4"/>
        <v>0x83</v>
      </c>
      <c r="M7" s="59">
        <v>5.0</v>
      </c>
      <c r="N7" s="59" t="str">
        <f t="shared" si="9"/>
        <v>0x0F</v>
      </c>
      <c r="O7" s="71" t="str">
        <f t="shared" si="10"/>
        <v>0xB9</v>
      </c>
      <c r="P7" s="71" t="str">
        <f t="shared" si="11"/>
        <v>0xB1</v>
      </c>
      <c r="Q7" s="71" t="str">
        <f t="shared" si="12"/>
        <v>0xB6</v>
      </c>
      <c r="R7" s="59"/>
      <c r="S7" s="71" t="str">
        <f t="shared" si="13"/>
        <v>0xB1</v>
      </c>
      <c r="T7" s="71" t="str">
        <f t="shared" si="14"/>
        <v>0xB6</v>
      </c>
      <c r="U7" s="71"/>
      <c r="V7" s="58">
        <v>21.0</v>
      </c>
      <c r="W7" s="58" t="str">
        <f t="shared" ref="W7:Y7" si="16">"0x" &amp; MID($B7,$V7  + 2*(COLUMN() - COLUMN($W7)), 2)</f>
        <v>0x30</v>
      </c>
      <c r="X7" s="58" t="str">
        <f t="shared" si="16"/>
        <v>0x7B</v>
      </c>
      <c r="Y7" s="58" t="str">
        <f t="shared" si="16"/>
        <v>0x07</v>
      </c>
      <c r="Z7" s="58"/>
      <c r="AA7" s="58"/>
      <c r="AB7" s="58"/>
      <c r="AC7" s="58"/>
      <c r="AD7" s="58"/>
      <c r="AE7" s="58"/>
      <c r="AF7" s="58"/>
      <c r="AG7" s="58"/>
      <c r="AH7" s="58"/>
      <c r="AI7" s="58"/>
      <c r="AJ7" s="58"/>
      <c r="AK7" s="58"/>
      <c r="AL7" s="58"/>
      <c r="AM7" s="58"/>
      <c r="AN7" s="74" t="str">
        <f t="shared" ref="AN7:AN10" si="18">"0x"&amp;MID($B7,27,2)</f>
        <v>0xB0</v>
      </c>
    </row>
    <row r="8">
      <c r="A8" s="33" t="str">
        <f>IFERROR(__xludf.DUMMYFUNCTION("LEFT(REGEXREPLACE($H8, ""(?i)^8301(E000|E100|E200|E300)?"", """"), 4)"),"E90C")</f>
        <v>E90C</v>
      </c>
      <c r="B8" s="34" t="str">
        <f>IFERROR(__xludf.DUMMYFUNCTION("REGEXREPLACE($H8, ""(?i)^8301(E000|E100|E200|E300)?"", """")"),"E90C00CF0FB9A4B9A4A8307B7BB0")</f>
        <v>E90C00CF0FB9A4B9A4A8307B7BB0</v>
      </c>
      <c r="C8" s="36" t="s">
        <v>14</v>
      </c>
      <c r="D8" s="36" t="s">
        <v>118</v>
      </c>
      <c r="E8" s="36" t="s">
        <v>75</v>
      </c>
      <c r="F8" s="36" t="s">
        <v>120</v>
      </c>
      <c r="G8" s="37">
        <v>46219.0</v>
      </c>
      <c r="H8" s="38" t="s">
        <v>149</v>
      </c>
      <c r="I8" s="36"/>
      <c r="J8" s="39" t="str">
        <f t="shared" si="2"/>
        <v>0x0C</v>
      </c>
      <c r="K8" s="40" t="str">
        <f t="shared" si="3"/>
        <v>0x00</v>
      </c>
      <c r="L8" s="40" t="str">
        <f t="shared" si="4"/>
        <v>0xCF</v>
      </c>
      <c r="M8" s="42">
        <v>5.0</v>
      </c>
      <c r="N8" s="42" t="str">
        <f t="shared" si="9"/>
        <v>0x0F</v>
      </c>
      <c r="O8" s="48" t="str">
        <f t="shared" si="10"/>
        <v>0xB9</v>
      </c>
      <c r="P8" s="48" t="str">
        <f t="shared" si="11"/>
        <v>0xA4</v>
      </c>
      <c r="Q8" s="48" t="str">
        <f t="shared" si="12"/>
        <v>0xB9</v>
      </c>
      <c r="R8" s="42"/>
      <c r="S8" s="48" t="str">
        <f t="shared" si="13"/>
        <v>0xA4</v>
      </c>
      <c r="T8" s="48" t="str">
        <f t="shared" si="14"/>
        <v>0xA8</v>
      </c>
      <c r="U8" s="48"/>
      <c r="V8" s="40">
        <v>21.0</v>
      </c>
      <c r="W8" s="40" t="str">
        <f t="shared" ref="W8:Y8" si="17">"0x" &amp; MID($B8,$V8  + 2*(COLUMN() - COLUMN($W8)), 2)</f>
        <v>0x30</v>
      </c>
      <c r="X8" s="40" t="str">
        <f t="shared" si="17"/>
        <v>0x7B</v>
      </c>
      <c r="Y8" s="40" t="str">
        <f t="shared" si="17"/>
        <v>0x7B</v>
      </c>
      <c r="Z8" s="40"/>
      <c r="AA8" s="40"/>
      <c r="AB8" s="40"/>
      <c r="AC8" s="40"/>
      <c r="AD8" s="40"/>
      <c r="AE8" s="40"/>
      <c r="AF8" s="40"/>
      <c r="AG8" s="40"/>
      <c r="AH8" s="40"/>
      <c r="AI8" s="40"/>
      <c r="AJ8" s="40"/>
      <c r="AK8" s="40"/>
      <c r="AL8" s="40"/>
      <c r="AM8" s="40"/>
      <c r="AN8" s="64" t="str">
        <f t="shared" si="18"/>
        <v>0xB0</v>
      </c>
    </row>
    <row r="9">
      <c r="A9" s="51" t="str">
        <f>IFERROR(__xludf.DUMMYFUNCTION("LEFT(REGEXREPLACE($H9, ""(?i)^8301(E000|E100|E200|E300)?"", """"), 4)"),"E90C")</f>
        <v>E90C</v>
      </c>
      <c r="B9" s="52" t="str">
        <f>IFERROR(__xludf.DUMMYFUNCTION("REGEXREPLACE($H9, ""(?i)^8301(E000|E100|E200|E300)?"", """")"),"E90C00640FB2A4B5B2B5307B7DB0")</f>
        <v>E90C00640FB2A4B5B2B5307B7DB0</v>
      </c>
      <c r="C9" s="65" t="s">
        <v>14</v>
      </c>
      <c r="D9" s="65" t="s">
        <v>118</v>
      </c>
      <c r="E9" s="65" t="s">
        <v>75</v>
      </c>
      <c r="F9" s="65" t="s">
        <v>120</v>
      </c>
      <c r="G9" s="67">
        <v>46219.0</v>
      </c>
      <c r="H9" s="68" t="s">
        <v>121</v>
      </c>
      <c r="I9" s="65"/>
      <c r="J9" s="57" t="str">
        <f t="shared" si="2"/>
        <v>0x0C</v>
      </c>
      <c r="K9" s="58" t="str">
        <f t="shared" si="3"/>
        <v>0x00</v>
      </c>
      <c r="L9" s="58" t="str">
        <f t="shared" si="4"/>
        <v>0x64</v>
      </c>
      <c r="M9" s="59">
        <v>5.0</v>
      </c>
      <c r="N9" s="59" t="str">
        <f t="shared" si="9"/>
        <v>0x0F</v>
      </c>
      <c r="O9" s="71" t="str">
        <f t="shared" si="10"/>
        <v>0xB2</v>
      </c>
      <c r="P9" s="71" t="str">
        <f t="shared" si="11"/>
        <v>0xA4</v>
      </c>
      <c r="Q9" s="71" t="str">
        <f t="shared" si="12"/>
        <v>0xB5</v>
      </c>
      <c r="R9" s="59"/>
      <c r="S9" s="71" t="str">
        <f t="shared" si="13"/>
        <v>0xB2</v>
      </c>
      <c r="T9" s="71" t="str">
        <f t="shared" si="14"/>
        <v>0xB5</v>
      </c>
      <c r="U9" s="71"/>
      <c r="V9" s="58">
        <v>21.0</v>
      </c>
      <c r="W9" s="58" t="str">
        <f t="shared" ref="W9:Y9" si="19">"0x" &amp; MID($B9,$V9  + 2*(COLUMN() - COLUMN($W9)), 2)</f>
        <v>0x30</v>
      </c>
      <c r="X9" s="58" t="str">
        <f t="shared" si="19"/>
        <v>0x7B</v>
      </c>
      <c r="Y9" s="58" t="str">
        <f t="shared" si="19"/>
        <v>0x7D</v>
      </c>
      <c r="Z9" s="58"/>
      <c r="AA9" s="58"/>
      <c r="AB9" s="58"/>
      <c r="AC9" s="58"/>
      <c r="AD9" s="58"/>
      <c r="AE9" s="58"/>
      <c r="AF9" s="58"/>
      <c r="AG9" s="58"/>
      <c r="AH9" s="58"/>
      <c r="AI9" s="58"/>
      <c r="AJ9" s="58"/>
      <c r="AK9" s="58"/>
      <c r="AL9" s="58"/>
      <c r="AM9" s="58"/>
      <c r="AN9" s="74" t="str">
        <f t="shared" si="18"/>
        <v>0xB0</v>
      </c>
    </row>
    <row r="10">
      <c r="A10" s="33" t="str">
        <f>IFERROR(__xludf.DUMMYFUNCTION("LEFT(REGEXREPLACE($H10, ""(?i)^8301(E000|E100|E200|E300)?"", """"), 4)"),"E90C")</f>
        <v>E90C</v>
      </c>
      <c r="B10" s="34" t="str">
        <f>IFERROR(__xludf.DUMMYFUNCTION("REGEXREPLACE($H10, ""(?i)^8301(E000|E100|E200|E300)?"", """")"),"E90C00A30FBDAEB3A2B9307BFBB0")</f>
        <v>E90C00A30FBDAEB3A2B9307BFBB0</v>
      </c>
      <c r="C10" s="36" t="s">
        <v>14</v>
      </c>
      <c r="D10" s="36"/>
      <c r="E10" s="36" t="s">
        <v>217</v>
      </c>
      <c r="F10" s="36" t="s">
        <v>218</v>
      </c>
      <c r="G10" s="37">
        <v>46244.0</v>
      </c>
      <c r="H10" s="38" t="s">
        <v>220</v>
      </c>
      <c r="I10" s="36"/>
      <c r="J10" s="39" t="str">
        <f t="shared" si="2"/>
        <v>0x0C</v>
      </c>
      <c r="K10" s="40" t="str">
        <f t="shared" si="3"/>
        <v>0x00</v>
      </c>
      <c r="L10" s="40" t="str">
        <f t="shared" si="4"/>
        <v>0xA3</v>
      </c>
      <c r="M10" s="42">
        <v>5.0</v>
      </c>
      <c r="N10" s="42" t="str">
        <f t="shared" si="9"/>
        <v>0x0F</v>
      </c>
      <c r="O10" s="48" t="str">
        <f t="shared" si="10"/>
        <v>0xBD</v>
      </c>
      <c r="P10" s="48" t="str">
        <f t="shared" si="11"/>
        <v>0xAE</v>
      </c>
      <c r="Q10" s="48" t="str">
        <f t="shared" si="12"/>
        <v>0xB3</v>
      </c>
      <c r="R10" s="42"/>
      <c r="S10" s="48" t="str">
        <f t="shared" si="13"/>
        <v>0xA2</v>
      </c>
      <c r="T10" s="48" t="str">
        <f t="shared" si="14"/>
        <v>0xB9</v>
      </c>
      <c r="U10" s="48"/>
      <c r="V10" s="40">
        <v>21.0</v>
      </c>
      <c r="W10" s="40" t="str">
        <f t="shared" ref="W10:Y10" si="20">"0x" &amp; MID($B10,$V10  + 2*(COLUMN() - COLUMN($W10)), 2)</f>
        <v>0x30</v>
      </c>
      <c r="X10" s="40" t="str">
        <f t="shared" si="20"/>
        <v>0x7B</v>
      </c>
      <c r="Y10" s="40" t="str">
        <f t="shared" si="20"/>
        <v>0xFB</v>
      </c>
      <c r="Z10" s="40"/>
      <c r="AA10" s="40"/>
      <c r="AB10" s="40"/>
      <c r="AC10" s="40"/>
      <c r="AD10" s="40"/>
      <c r="AE10" s="40"/>
      <c r="AF10" s="40"/>
      <c r="AG10" s="40"/>
      <c r="AH10" s="40"/>
      <c r="AI10" s="40"/>
      <c r="AJ10" s="40"/>
      <c r="AK10" s="40"/>
      <c r="AL10" s="40"/>
      <c r="AM10" s="40"/>
      <c r="AN10" s="64" t="str">
        <f t="shared" si="18"/>
        <v>0xB0</v>
      </c>
    </row>
    <row r="11">
      <c r="A11" s="51" t="str">
        <f>IFERROR(__xludf.DUMMYFUNCTION("LEFT(REGEXREPLACE($H11, ""(?i)^8301(E000|E100|E200|E300)?"", """"), 4)"),"E912")</f>
        <v>E912</v>
      </c>
      <c r="B11" s="52" t="str">
        <f>IFERROR(__xludf.DUMMYFUNCTION("REGEXREPLACE($H11, ""(?i)^8301(E000|E100|E200|E300)?"", """")"),"E912001F0FBDBDBDBCBC30D037F4D246000064B0")</f>
        <v>E912001F0FBDBDBDBCBC30D037F4D246000064B0</v>
      </c>
      <c r="C11" s="65" t="s">
        <v>14</v>
      </c>
      <c r="D11" s="65" t="s">
        <v>118</v>
      </c>
      <c r="E11" s="65" t="s">
        <v>75</v>
      </c>
      <c r="F11" s="65" t="s">
        <v>76</v>
      </c>
      <c r="G11" s="67">
        <v>46228.0</v>
      </c>
      <c r="H11" s="68" t="s">
        <v>253</v>
      </c>
      <c r="I11" s="65"/>
      <c r="J11" s="57" t="str">
        <f t="shared" si="2"/>
        <v>0x12</v>
      </c>
      <c r="K11" s="58" t="str">
        <f t="shared" si="3"/>
        <v>0x00</v>
      </c>
      <c r="L11" s="58" t="str">
        <f t="shared" si="4"/>
        <v>0x1F</v>
      </c>
      <c r="M11" s="59">
        <v>5.0</v>
      </c>
      <c r="N11" s="59" t="str">
        <f t="shared" si="9"/>
        <v>0x0F</v>
      </c>
      <c r="O11" s="71" t="str">
        <f t="shared" si="10"/>
        <v>0xBD</v>
      </c>
      <c r="P11" s="71" t="str">
        <f t="shared" si="11"/>
        <v>0xBD</v>
      </c>
      <c r="Q11" s="71" t="str">
        <f t="shared" si="12"/>
        <v>0xBD</v>
      </c>
      <c r="R11" s="59"/>
      <c r="S11" s="71" t="str">
        <f t="shared" si="13"/>
        <v>0xBC</v>
      </c>
      <c r="T11" s="71" t="str">
        <f t="shared" si="14"/>
        <v>0xBC</v>
      </c>
      <c r="U11" s="71"/>
      <c r="V11" s="58">
        <v>21.0</v>
      </c>
      <c r="W11" s="58" t="str">
        <f t="shared" ref="W11:AE11" si="21">"0x" &amp; MID($B11,$V11  + 2*(COLUMN() - COLUMN($W11)), 2)</f>
        <v>0x30</v>
      </c>
      <c r="X11" s="58" t="str">
        <f t="shared" si="21"/>
        <v>0xD0</v>
      </c>
      <c r="Y11" s="58" t="str">
        <f t="shared" si="21"/>
        <v>0x37</v>
      </c>
      <c r="Z11" s="58" t="str">
        <f t="shared" si="21"/>
        <v>0xF4</v>
      </c>
      <c r="AA11" s="58" t="str">
        <f t="shared" si="21"/>
        <v>0xD2</v>
      </c>
      <c r="AB11" s="58" t="str">
        <f t="shared" si="21"/>
        <v>0x46</v>
      </c>
      <c r="AC11" s="58" t="str">
        <f t="shared" si="21"/>
        <v>0x00</v>
      </c>
      <c r="AD11" s="58" t="str">
        <f t="shared" si="21"/>
        <v>0x00</v>
      </c>
      <c r="AE11" s="58" t="str">
        <f t="shared" si="21"/>
        <v>0x64</v>
      </c>
      <c r="AF11" s="58"/>
      <c r="AG11" s="58"/>
      <c r="AH11" s="58"/>
      <c r="AI11" s="58"/>
      <c r="AJ11" s="58"/>
      <c r="AK11" s="58"/>
      <c r="AL11" s="58"/>
      <c r="AM11" s="58"/>
      <c r="AN11" s="74" t="str">
        <f t="shared" ref="AN11:AN14" si="23">"0x"&amp;MID($B11,39,2)</f>
        <v>0xB0</v>
      </c>
    </row>
    <row r="12">
      <c r="A12" s="33" t="str">
        <f>IFERROR(__xludf.DUMMYFUNCTION("LEFT(REGEXREPLACE($H12, ""(?i)^8301(E000|E100|E200|E300)?"", """"), 4)"),"E912")</f>
        <v>E912</v>
      </c>
      <c r="B12" s="34" t="str">
        <f>IFERROR(__xludf.DUMMYFUNCTION("REGEXREPLACE($H12, ""(?i)^8301(E000|E100|E200|E300)?"", """")"),"E91200010FBCBDBDBDBD30D037F4D2460000FCBB")</f>
        <v>E91200010FBCBDBDBDBD30D037F4D2460000FCBB</v>
      </c>
      <c r="C12" s="36" t="s">
        <v>14</v>
      </c>
      <c r="D12" s="36" t="s">
        <v>118</v>
      </c>
      <c r="E12" s="36" t="s">
        <v>129</v>
      </c>
      <c r="F12" s="41" t="s">
        <v>130</v>
      </c>
      <c r="G12" s="37">
        <v>46240.0</v>
      </c>
      <c r="H12" s="44" t="s">
        <v>268</v>
      </c>
      <c r="I12" s="36"/>
      <c r="J12" s="39" t="str">
        <f t="shared" si="2"/>
        <v>0x12</v>
      </c>
      <c r="K12" s="40" t="str">
        <f t="shared" si="3"/>
        <v>0x00</v>
      </c>
      <c r="L12" s="40" t="str">
        <f t="shared" si="4"/>
        <v>0x01</v>
      </c>
      <c r="M12" s="42">
        <v>5.0</v>
      </c>
      <c r="N12" s="42" t="str">
        <f t="shared" si="9"/>
        <v>0x0F</v>
      </c>
      <c r="O12" s="48" t="str">
        <f t="shared" si="10"/>
        <v>0xBC</v>
      </c>
      <c r="P12" s="48" t="str">
        <f t="shared" si="11"/>
        <v>0xBD</v>
      </c>
      <c r="Q12" s="48" t="str">
        <f t="shared" si="12"/>
        <v>0xBD</v>
      </c>
      <c r="R12" s="42"/>
      <c r="S12" s="48" t="str">
        <f t="shared" si="13"/>
        <v>0xBD</v>
      </c>
      <c r="T12" s="48" t="str">
        <f t="shared" si="14"/>
        <v>0xBD</v>
      </c>
      <c r="U12" s="48"/>
      <c r="V12" s="40">
        <v>21.0</v>
      </c>
      <c r="W12" s="40" t="str">
        <f t="shared" ref="W12:AE12" si="22">"0x" &amp; MID($B12,$V12  + 2*(COLUMN() - COLUMN($W12)), 2)</f>
        <v>0x30</v>
      </c>
      <c r="X12" s="40" t="str">
        <f t="shared" si="22"/>
        <v>0xD0</v>
      </c>
      <c r="Y12" s="40" t="str">
        <f t="shared" si="22"/>
        <v>0x37</v>
      </c>
      <c r="Z12" s="40" t="str">
        <f t="shared" si="22"/>
        <v>0xF4</v>
      </c>
      <c r="AA12" s="40" t="str">
        <f t="shared" si="22"/>
        <v>0xD2</v>
      </c>
      <c r="AB12" s="40" t="str">
        <f t="shared" si="22"/>
        <v>0x46</v>
      </c>
      <c r="AC12" s="40" t="str">
        <f t="shared" si="22"/>
        <v>0x00</v>
      </c>
      <c r="AD12" s="40" t="str">
        <f t="shared" si="22"/>
        <v>0x00</v>
      </c>
      <c r="AE12" s="40" t="str">
        <f t="shared" si="22"/>
        <v>0xFC</v>
      </c>
      <c r="AF12" s="40"/>
      <c r="AG12" s="40"/>
      <c r="AH12" s="40"/>
      <c r="AI12" s="40"/>
      <c r="AJ12" s="40"/>
      <c r="AK12" s="40"/>
      <c r="AL12" s="40"/>
      <c r="AM12" s="40"/>
      <c r="AN12" s="64" t="str">
        <f t="shared" si="23"/>
        <v>0xBB</v>
      </c>
    </row>
    <row r="13">
      <c r="A13" s="51" t="str">
        <f>IFERROR(__xludf.DUMMYFUNCTION("LEFT(REGEXREPLACE($H13, ""(?i)^8301(E000|E100|E200|E300)?"", """"), 4)"),"E912")</f>
        <v>E912</v>
      </c>
      <c r="B13" s="52" t="str">
        <f>IFERROR(__xludf.DUMMYFUNCTION("REGEXREPLACE($H13, ""(?i)^8301(E000|E100|E200|E300)?"", """")"),"E91200C30FB1A4B5B5A430D037F4D246000CFCB0")</f>
        <v>E91200C30FB1A4B5B5A430D037F4D246000CFCB0</v>
      </c>
      <c r="C13" s="65" t="s">
        <v>14</v>
      </c>
      <c r="D13" s="65" t="s">
        <v>118</v>
      </c>
      <c r="E13" s="65" t="s">
        <v>75</v>
      </c>
      <c r="F13" s="65" t="s">
        <v>76</v>
      </c>
      <c r="G13" s="67">
        <v>46208.0</v>
      </c>
      <c r="H13" s="68" t="s">
        <v>280</v>
      </c>
      <c r="I13" s="65"/>
      <c r="J13" s="57" t="str">
        <f t="shared" si="2"/>
        <v>0x12</v>
      </c>
      <c r="K13" s="58" t="str">
        <f t="shared" si="3"/>
        <v>0x00</v>
      </c>
      <c r="L13" s="58" t="str">
        <f t="shared" si="4"/>
        <v>0xC3</v>
      </c>
      <c r="M13" s="59">
        <v>5.0</v>
      </c>
      <c r="N13" s="59" t="str">
        <f t="shared" si="9"/>
        <v>0x0F</v>
      </c>
      <c r="O13" s="71" t="str">
        <f t="shared" si="10"/>
        <v>0xB1</v>
      </c>
      <c r="P13" s="71" t="str">
        <f t="shared" si="11"/>
        <v>0xA4</v>
      </c>
      <c r="Q13" s="71" t="str">
        <f t="shared" si="12"/>
        <v>0xB5</v>
      </c>
      <c r="R13" s="59"/>
      <c r="S13" s="71" t="str">
        <f t="shared" si="13"/>
        <v>0xB5</v>
      </c>
      <c r="T13" s="71" t="str">
        <f t="shared" si="14"/>
        <v>0xA4</v>
      </c>
      <c r="U13" s="71"/>
      <c r="V13" s="58">
        <v>21.0</v>
      </c>
      <c r="W13" s="58" t="str">
        <f t="shared" ref="W13:AE13" si="24">"0x" &amp; MID($B13,$V13  + 2*(COLUMN() - COLUMN($W13)), 2)</f>
        <v>0x30</v>
      </c>
      <c r="X13" s="58" t="str">
        <f t="shared" si="24"/>
        <v>0xD0</v>
      </c>
      <c r="Y13" s="58" t="str">
        <f t="shared" si="24"/>
        <v>0x37</v>
      </c>
      <c r="Z13" s="58" t="str">
        <f t="shared" si="24"/>
        <v>0xF4</v>
      </c>
      <c r="AA13" s="58" t="str">
        <f t="shared" si="24"/>
        <v>0xD2</v>
      </c>
      <c r="AB13" s="58" t="str">
        <f t="shared" si="24"/>
        <v>0x46</v>
      </c>
      <c r="AC13" s="58" t="str">
        <f t="shared" si="24"/>
        <v>0x00</v>
      </c>
      <c r="AD13" s="58" t="str">
        <f t="shared" si="24"/>
        <v>0x0C</v>
      </c>
      <c r="AE13" s="58" t="str">
        <f t="shared" si="24"/>
        <v>0xFC</v>
      </c>
      <c r="AF13" s="58"/>
      <c r="AG13" s="58"/>
      <c r="AH13" s="58"/>
      <c r="AI13" s="58"/>
      <c r="AJ13" s="58"/>
      <c r="AK13" s="58"/>
      <c r="AL13" s="58"/>
      <c r="AM13" s="58"/>
      <c r="AN13" s="74" t="str">
        <f t="shared" si="23"/>
        <v>0xB0</v>
      </c>
    </row>
    <row r="14">
      <c r="A14" s="33" t="str">
        <f>IFERROR(__xludf.DUMMYFUNCTION("LEFT(REGEXREPLACE($H14, ""(?i)^8301(E000|E100|E200|E300)?"", """"), 4)"),"E912")</f>
        <v>E912</v>
      </c>
      <c r="B14" s="34" t="str">
        <f>IFERROR(__xludf.DUMMYFUNCTION("REGEXREPLACE($H14, ""(?i)^8301(E000|E100|E200|E300)?"", """")"),"E91200480FBBB5A4B5A430D037F4D246001340B0")</f>
        <v>E91200480FBBB5A4B5A430D037F4D246001340B0</v>
      </c>
      <c r="C14" s="36" t="s">
        <v>14</v>
      </c>
      <c r="D14" s="36" t="s">
        <v>118</v>
      </c>
      <c r="E14" s="36" t="s">
        <v>129</v>
      </c>
      <c r="F14" s="36" t="s">
        <v>137</v>
      </c>
      <c r="G14" s="37">
        <v>46207.0</v>
      </c>
      <c r="H14" s="44" t="s">
        <v>294</v>
      </c>
      <c r="I14" s="36"/>
      <c r="J14" s="39" t="str">
        <f t="shared" si="2"/>
        <v>0x12</v>
      </c>
      <c r="K14" s="40" t="str">
        <f t="shared" si="3"/>
        <v>0x00</v>
      </c>
      <c r="L14" s="40" t="str">
        <f t="shared" si="4"/>
        <v>0x48</v>
      </c>
      <c r="M14" s="42">
        <v>5.0</v>
      </c>
      <c r="N14" s="42" t="str">
        <f t="shared" si="9"/>
        <v>0x0F</v>
      </c>
      <c r="O14" s="48" t="str">
        <f t="shared" si="10"/>
        <v>0xBB</v>
      </c>
      <c r="P14" s="48" t="str">
        <f t="shared" si="11"/>
        <v>0xB5</v>
      </c>
      <c r="Q14" s="48" t="str">
        <f t="shared" si="12"/>
        <v>0xA4</v>
      </c>
      <c r="R14" s="42"/>
      <c r="S14" s="48" t="str">
        <f t="shared" si="13"/>
        <v>0xB5</v>
      </c>
      <c r="T14" s="48" t="str">
        <f t="shared" si="14"/>
        <v>0xA4</v>
      </c>
      <c r="U14" s="48"/>
      <c r="V14" s="40">
        <v>21.0</v>
      </c>
      <c r="W14" s="40" t="str">
        <f t="shared" ref="W14:AE14" si="25">"0x" &amp; MID($B14,$V14  + 2*(COLUMN() - COLUMN($W14)), 2)</f>
        <v>0x30</v>
      </c>
      <c r="X14" s="40" t="str">
        <f t="shared" si="25"/>
        <v>0xD0</v>
      </c>
      <c r="Y14" s="40" t="str">
        <f t="shared" si="25"/>
        <v>0x37</v>
      </c>
      <c r="Z14" s="40" t="str">
        <f t="shared" si="25"/>
        <v>0xF4</v>
      </c>
      <c r="AA14" s="40" t="str">
        <f t="shared" si="25"/>
        <v>0xD2</v>
      </c>
      <c r="AB14" s="40" t="str">
        <f t="shared" si="25"/>
        <v>0x46</v>
      </c>
      <c r="AC14" s="40" t="str">
        <f t="shared" si="25"/>
        <v>0x00</v>
      </c>
      <c r="AD14" s="40" t="str">
        <f t="shared" si="25"/>
        <v>0x13</v>
      </c>
      <c r="AE14" s="40" t="str">
        <f t="shared" si="25"/>
        <v>0x40</v>
      </c>
      <c r="AF14" s="40"/>
      <c r="AG14" s="40"/>
      <c r="AH14" s="40"/>
      <c r="AI14" s="40"/>
      <c r="AJ14" s="40"/>
      <c r="AK14" s="40"/>
      <c r="AL14" s="40"/>
      <c r="AM14" s="40"/>
      <c r="AN14" s="64" t="str">
        <f t="shared" si="23"/>
        <v>0xB0</v>
      </c>
    </row>
    <row r="15">
      <c r="A15" s="51" t="str">
        <f>IFERROR(__xludf.DUMMYFUNCTION("LEFT(REGEXREPLACE($H15, ""(?i)^8301(E000|E100|E200|E300)?"", """"), 4)"),"E911")</f>
        <v>E911</v>
      </c>
      <c r="B15" s="52" t="str">
        <f>IFERROR(__xludf.DUMMYFUNCTION("REGEXREPLACE($H15, ""(?i)^8301(E000|E100|E200|E300)?"", """")"),"E91100C10FA2B2B9ACB530D037F4D246001978")</f>
        <v>E91100C10FA2B2B9ACB530D037F4D246001978</v>
      </c>
      <c r="C15" s="65" t="s">
        <v>14</v>
      </c>
      <c r="D15" s="65" t="s">
        <v>118</v>
      </c>
      <c r="E15" s="65" t="s">
        <v>106</v>
      </c>
      <c r="F15" s="65" t="s">
        <v>107</v>
      </c>
      <c r="G15" s="67">
        <v>46220.0</v>
      </c>
      <c r="H15" s="68" t="s">
        <v>310</v>
      </c>
      <c r="I15" s="65"/>
      <c r="J15" s="57" t="str">
        <f t="shared" si="2"/>
        <v>0x11</v>
      </c>
      <c r="K15" s="58" t="str">
        <f t="shared" si="3"/>
        <v>0x00</v>
      </c>
      <c r="L15" s="58" t="str">
        <f t="shared" si="4"/>
        <v>0xC1</v>
      </c>
      <c r="M15" s="59">
        <v>5.0</v>
      </c>
      <c r="N15" s="59" t="str">
        <f t="shared" si="9"/>
        <v>0x0F</v>
      </c>
      <c r="O15" s="71" t="str">
        <f t="shared" si="10"/>
        <v>0xA2</v>
      </c>
      <c r="P15" s="71" t="str">
        <f t="shared" si="11"/>
        <v>0xB2</v>
      </c>
      <c r="Q15" s="71" t="str">
        <f t="shared" si="12"/>
        <v>0xB9</v>
      </c>
      <c r="R15" s="59"/>
      <c r="S15" s="71" t="str">
        <f t="shared" si="13"/>
        <v>0xAC</v>
      </c>
      <c r="T15" s="71" t="str">
        <f t="shared" si="14"/>
        <v>0xB5</v>
      </c>
      <c r="U15" s="71"/>
      <c r="V15" s="58">
        <v>21.0</v>
      </c>
      <c r="W15" s="58" t="str">
        <f t="shared" ref="W15:AE15" si="26">"0x" &amp; MID($B15,$V15  + 2*(COLUMN() - COLUMN($W15)), 2)</f>
        <v>0x30</v>
      </c>
      <c r="X15" s="58" t="str">
        <f t="shared" si="26"/>
        <v>0xD0</v>
      </c>
      <c r="Y15" s="58" t="str">
        <f t="shared" si="26"/>
        <v>0x37</v>
      </c>
      <c r="Z15" s="58" t="str">
        <f t="shared" si="26"/>
        <v>0xF4</v>
      </c>
      <c r="AA15" s="58" t="str">
        <f t="shared" si="26"/>
        <v>0xD2</v>
      </c>
      <c r="AB15" s="58" t="str">
        <f t="shared" si="26"/>
        <v>0x46</v>
      </c>
      <c r="AC15" s="58" t="str">
        <f t="shared" si="26"/>
        <v>0x00</v>
      </c>
      <c r="AD15" s="58" t="str">
        <f t="shared" si="26"/>
        <v>0x19</v>
      </c>
      <c r="AE15" s="58" t="str">
        <f t="shared" si="26"/>
        <v>0x78</v>
      </c>
      <c r="AF15" s="58"/>
      <c r="AG15" s="58"/>
      <c r="AH15" s="58"/>
      <c r="AI15" s="58"/>
      <c r="AJ15" s="58"/>
      <c r="AK15" s="58"/>
      <c r="AL15" s="58"/>
      <c r="AM15" s="58"/>
      <c r="AN15" s="88"/>
    </row>
    <row r="16">
      <c r="A16" s="33" t="str">
        <f>IFERROR(__xludf.DUMMYFUNCTION("LEFT(REGEXREPLACE($H16, ""(?i)^8301(E000|E100|E200|E300)?"", """"), 4)"),"E911")</f>
        <v>E911</v>
      </c>
      <c r="B16" s="34" t="str">
        <f>IFERROR(__xludf.DUMMYFUNCTION("REGEXREPLACE($H16, ""(?i)^8301(E000|E100|E200|E300)?"", """")"),"E911001F0FB2B2B2BDBD30D037F4D246006464")</f>
        <v>E911001F0FB2B2B2BDBD30D037F4D246006464</v>
      </c>
      <c r="C16" s="36" t="s">
        <v>14</v>
      </c>
      <c r="D16" s="36" t="s">
        <v>118</v>
      </c>
      <c r="E16" s="36" t="s">
        <v>106</v>
      </c>
      <c r="F16" s="36" t="s">
        <v>107</v>
      </c>
      <c r="G16" s="37">
        <v>46220.0</v>
      </c>
      <c r="H16" s="38" t="s">
        <v>306</v>
      </c>
      <c r="I16" s="36"/>
      <c r="J16" s="39" t="str">
        <f t="shared" si="2"/>
        <v>0x11</v>
      </c>
      <c r="K16" s="40" t="str">
        <f t="shared" si="3"/>
        <v>0x00</v>
      </c>
      <c r="L16" s="40" t="str">
        <f t="shared" si="4"/>
        <v>0x1F</v>
      </c>
      <c r="M16" s="42">
        <v>5.0</v>
      </c>
      <c r="N16" s="42" t="str">
        <f t="shared" si="9"/>
        <v>0x0F</v>
      </c>
      <c r="O16" s="48" t="str">
        <f t="shared" si="10"/>
        <v>0xB2</v>
      </c>
      <c r="P16" s="48" t="str">
        <f t="shared" si="11"/>
        <v>0xB2</v>
      </c>
      <c r="Q16" s="48" t="str">
        <f t="shared" si="12"/>
        <v>0xB2</v>
      </c>
      <c r="R16" s="42"/>
      <c r="S16" s="48" t="str">
        <f t="shared" si="13"/>
        <v>0xBD</v>
      </c>
      <c r="T16" s="48" t="str">
        <f t="shared" si="14"/>
        <v>0xBD</v>
      </c>
      <c r="U16" s="48"/>
      <c r="V16" s="40">
        <v>21.0</v>
      </c>
      <c r="W16" s="40" t="str">
        <f t="shared" ref="W16:AE16" si="27">"0x" &amp; MID($B16,$V16  + 2*(COLUMN() - COLUMN($W16)), 2)</f>
        <v>0x30</v>
      </c>
      <c r="X16" s="40" t="str">
        <f t="shared" si="27"/>
        <v>0xD0</v>
      </c>
      <c r="Y16" s="40" t="str">
        <f t="shared" si="27"/>
        <v>0x37</v>
      </c>
      <c r="Z16" s="40" t="str">
        <f t="shared" si="27"/>
        <v>0xF4</v>
      </c>
      <c r="AA16" s="40" t="str">
        <f t="shared" si="27"/>
        <v>0xD2</v>
      </c>
      <c r="AB16" s="40" t="str">
        <f t="shared" si="27"/>
        <v>0x46</v>
      </c>
      <c r="AC16" s="40" t="str">
        <f t="shared" si="27"/>
        <v>0x00</v>
      </c>
      <c r="AD16" s="40" t="str">
        <f t="shared" si="27"/>
        <v>0x64</v>
      </c>
      <c r="AE16" s="40" t="str">
        <f t="shared" si="27"/>
        <v>0x64</v>
      </c>
      <c r="AF16" s="40"/>
      <c r="AG16" s="40"/>
      <c r="AH16" s="40"/>
      <c r="AI16" s="40"/>
      <c r="AJ16" s="40"/>
      <c r="AK16" s="40"/>
      <c r="AL16" s="40"/>
      <c r="AM16" s="40"/>
      <c r="AN16" s="75"/>
    </row>
    <row r="17">
      <c r="A17" s="51" t="str">
        <f>IFERROR(__xludf.DUMMYFUNCTION("LEFT(REGEXREPLACE($H17, ""(?i)^8301(E000|E100|E200|E300)?"", """"), 4)"),"E912")</f>
        <v>E912</v>
      </c>
      <c r="B17" s="52" t="str">
        <f>IFERROR(__xludf.DUMMYFUNCTION("REGEXREPLACE($H17, ""(?i)^8301(E000|E100|E200|E300)?"", """")"),"E91200D20FA4B9A8AFB530D037F4D2460064FCB0")</f>
        <v>E91200D20FA4B9A8AFB530D037F4D2460064FCB0</v>
      </c>
      <c r="C17" s="65" t="s">
        <v>14</v>
      </c>
      <c r="D17" s="65" t="s">
        <v>118</v>
      </c>
      <c r="E17" s="65" t="s">
        <v>75</v>
      </c>
      <c r="F17" s="65" t="s">
        <v>76</v>
      </c>
      <c r="G17" s="67">
        <v>46219.0</v>
      </c>
      <c r="H17" s="68" t="s">
        <v>341</v>
      </c>
      <c r="I17" s="65"/>
      <c r="J17" s="57" t="str">
        <f t="shared" si="2"/>
        <v>0x12</v>
      </c>
      <c r="K17" s="58" t="str">
        <f t="shared" si="3"/>
        <v>0x00</v>
      </c>
      <c r="L17" s="58" t="str">
        <f t="shared" si="4"/>
        <v>0xD2</v>
      </c>
      <c r="M17" s="59">
        <v>5.0</v>
      </c>
      <c r="N17" s="59" t="str">
        <f t="shared" si="9"/>
        <v>0x0F</v>
      </c>
      <c r="O17" s="71" t="str">
        <f t="shared" si="10"/>
        <v>0xA4</v>
      </c>
      <c r="P17" s="71" t="str">
        <f t="shared" si="11"/>
        <v>0xB9</v>
      </c>
      <c r="Q17" s="71" t="str">
        <f t="shared" si="12"/>
        <v>0xA8</v>
      </c>
      <c r="R17" s="59"/>
      <c r="S17" s="71" t="str">
        <f t="shared" si="13"/>
        <v>0xAF</v>
      </c>
      <c r="T17" s="71" t="str">
        <f t="shared" si="14"/>
        <v>0xB5</v>
      </c>
      <c r="U17" s="71"/>
      <c r="V17" s="58">
        <v>21.0</v>
      </c>
      <c r="W17" s="58" t="str">
        <f t="shared" ref="W17:AE17" si="28">"0x" &amp; MID($B17,$V17  + 2*(COLUMN() - COLUMN($W17)), 2)</f>
        <v>0x30</v>
      </c>
      <c r="X17" s="58" t="str">
        <f t="shared" si="28"/>
        <v>0xD0</v>
      </c>
      <c r="Y17" s="58" t="str">
        <f t="shared" si="28"/>
        <v>0x37</v>
      </c>
      <c r="Z17" s="58" t="str">
        <f t="shared" si="28"/>
        <v>0xF4</v>
      </c>
      <c r="AA17" s="58" t="str">
        <f t="shared" si="28"/>
        <v>0xD2</v>
      </c>
      <c r="AB17" s="58" t="str">
        <f t="shared" si="28"/>
        <v>0x46</v>
      </c>
      <c r="AC17" s="58" t="str">
        <f t="shared" si="28"/>
        <v>0x00</v>
      </c>
      <c r="AD17" s="58" t="str">
        <f t="shared" si="28"/>
        <v>0x64</v>
      </c>
      <c r="AE17" s="58" t="str">
        <f t="shared" si="28"/>
        <v>0xFC</v>
      </c>
      <c r="AF17" s="58"/>
      <c r="AG17" s="58"/>
      <c r="AH17" s="58"/>
      <c r="AI17" s="58"/>
      <c r="AJ17" s="58"/>
      <c r="AK17" s="58"/>
      <c r="AL17" s="58"/>
      <c r="AM17" s="58"/>
      <c r="AN17" s="74" t="str">
        <f t="shared" ref="AN17:AN18" si="30">"0x"&amp;MID($B17,39,2)</f>
        <v>0xB0</v>
      </c>
    </row>
    <row r="18">
      <c r="A18" s="33" t="str">
        <f>IFERROR(__xludf.DUMMYFUNCTION("LEFT(REGEXREPLACE($H18, ""(?i)^8301(E000|E100|E200|E300)?"", """"), 4)"),"E912")</f>
        <v>E912</v>
      </c>
      <c r="B18" s="34" t="str">
        <f>IFERROR(__xludf.DUMMYFUNCTION("REGEXREPLACE($H18, ""(?i)^8301(E000|E100|E200|E300)?"", """")"),"E91200C30FB6B9B6B6B930D037F4D24600FCFCB0")</f>
        <v>E91200C30FB6B9B6B6B930D037F4D24600FCFCB0</v>
      </c>
      <c r="C18" s="36" t="s">
        <v>14</v>
      </c>
      <c r="D18" s="36" t="s">
        <v>118</v>
      </c>
      <c r="E18" s="41" t="s">
        <v>75</v>
      </c>
      <c r="F18" s="41" t="s">
        <v>76</v>
      </c>
      <c r="G18" s="43">
        <v>46235.0</v>
      </c>
      <c r="H18" s="44" t="s">
        <v>357</v>
      </c>
      <c r="I18" s="36"/>
      <c r="J18" s="39" t="str">
        <f t="shared" si="2"/>
        <v>0x12</v>
      </c>
      <c r="K18" s="40" t="str">
        <f t="shared" si="3"/>
        <v>0x00</v>
      </c>
      <c r="L18" s="40" t="str">
        <f t="shared" si="4"/>
        <v>0xC3</v>
      </c>
      <c r="M18" s="42">
        <v>5.0</v>
      </c>
      <c r="N18" s="42" t="str">
        <f t="shared" si="9"/>
        <v>0x0F</v>
      </c>
      <c r="O18" s="48" t="str">
        <f t="shared" si="10"/>
        <v>0xB6</v>
      </c>
      <c r="P18" s="48" t="str">
        <f t="shared" si="11"/>
        <v>0xB9</v>
      </c>
      <c r="Q18" s="48" t="str">
        <f t="shared" si="12"/>
        <v>0xB6</v>
      </c>
      <c r="R18" s="42"/>
      <c r="S18" s="48" t="str">
        <f t="shared" si="13"/>
        <v>0xB6</v>
      </c>
      <c r="T18" s="48" t="str">
        <f t="shared" si="14"/>
        <v>0xB9</v>
      </c>
      <c r="U18" s="48"/>
      <c r="V18" s="40">
        <v>21.0</v>
      </c>
      <c r="W18" s="40" t="str">
        <f t="shared" ref="W18:AE18" si="29">"0x" &amp; MID($B18,$V18  + 2*(COLUMN() - COLUMN($W18)), 2)</f>
        <v>0x30</v>
      </c>
      <c r="X18" s="40" t="str">
        <f t="shared" si="29"/>
        <v>0xD0</v>
      </c>
      <c r="Y18" s="40" t="str">
        <f t="shared" si="29"/>
        <v>0x37</v>
      </c>
      <c r="Z18" s="40" t="str">
        <f t="shared" si="29"/>
        <v>0xF4</v>
      </c>
      <c r="AA18" s="40" t="str">
        <f t="shared" si="29"/>
        <v>0xD2</v>
      </c>
      <c r="AB18" s="40" t="str">
        <f t="shared" si="29"/>
        <v>0x46</v>
      </c>
      <c r="AC18" s="40" t="str">
        <f t="shared" si="29"/>
        <v>0x00</v>
      </c>
      <c r="AD18" s="40" t="str">
        <f t="shared" si="29"/>
        <v>0xFC</v>
      </c>
      <c r="AE18" s="40" t="str">
        <f t="shared" si="29"/>
        <v>0xFC</v>
      </c>
      <c r="AF18" s="40"/>
      <c r="AG18" s="40"/>
      <c r="AH18" s="40"/>
      <c r="AI18" s="40"/>
      <c r="AJ18" s="40"/>
      <c r="AK18" s="40"/>
      <c r="AL18" s="40"/>
      <c r="AM18" s="40"/>
      <c r="AN18" s="64" t="str">
        <f t="shared" si="30"/>
        <v>0xB0</v>
      </c>
    </row>
    <row r="19">
      <c r="A19" s="51" t="str">
        <f>IFERROR(__xludf.DUMMYFUNCTION("LEFT(REGEXREPLACE($H19, ""(?i)^8301(E000|E100|E200|E300)?"", """"), 4)"),"E90C")</f>
        <v>E90C</v>
      </c>
      <c r="B19" s="52" t="str">
        <f>IFERROR(__xludf.DUMMYFUNCTION("REGEXREPLACE($H19, ""(?i)^8301(E000|E100|E200|E300)?"", """")"),"E90C00150F5B5548A5D1654003B8")</f>
        <v>E90C00150F5B5548A5D1654003B8</v>
      </c>
      <c r="C19" s="65" t="s">
        <v>14</v>
      </c>
      <c r="D19" s="65" t="s">
        <v>233</v>
      </c>
      <c r="E19" s="65" t="s">
        <v>129</v>
      </c>
      <c r="F19" s="89" t="s">
        <v>137</v>
      </c>
      <c r="G19" s="67">
        <v>46240.0</v>
      </c>
      <c r="H19" s="56" t="s">
        <v>236</v>
      </c>
      <c r="I19" s="65" t="s">
        <v>153</v>
      </c>
      <c r="J19" s="57" t="str">
        <f t="shared" si="2"/>
        <v>0x0C</v>
      </c>
      <c r="K19" s="58" t="str">
        <f t="shared" si="3"/>
        <v>0x00</v>
      </c>
      <c r="L19" s="58" t="str">
        <f t="shared" si="4"/>
        <v>0x15</v>
      </c>
      <c r="M19" s="59">
        <v>5.0</v>
      </c>
      <c r="N19" s="59" t="str">
        <f t="shared" si="9"/>
        <v>0x0F</v>
      </c>
      <c r="O19" s="71" t="str">
        <f t="shared" si="10"/>
        <v>0x5B</v>
      </c>
      <c r="P19" s="71" t="str">
        <f t="shared" si="11"/>
        <v>0x55</v>
      </c>
      <c r="Q19" s="71" t="str">
        <f t="shared" si="12"/>
        <v>0x48</v>
      </c>
      <c r="R19" s="59"/>
      <c r="S19" s="71" t="str">
        <f t="shared" si="13"/>
        <v>0xA5</v>
      </c>
      <c r="T19" s="71" t="str">
        <f t="shared" si="14"/>
        <v>0xD1</v>
      </c>
      <c r="U19" s="71"/>
      <c r="V19" s="58">
        <v>15.0</v>
      </c>
      <c r="W19" s="62" t="str">
        <f t="shared" ref="W19:AB19" si="31">"0x" &amp; MID($B19,$V19  + 2*(COLUMN() - COLUMN($W19)), 2)</f>
        <v>0x48</v>
      </c>
      <c r="X19" s="62" t="str">
        <f t="shared" si="31"/>
        <v>0xA5</v>
      </c>
      <c r="Y19" s="62" t="str">
        <f t="shared" si="31"/>
        <v>0xD1</v>
      </c>
      <c r="Z19" s="62" t="str">
        <f t="shared" si="31"/>
        <v>0x65</v>
      </c>
      <c r="AA19" s="62" t="str">
        <f t="shared" si="31"/>
        <v>0x40</v>
      </c>
      <c r="AB19" s="62" t="str">
        <f t="shared" si="31"/>
        <v>0x03</v>
      </c>
      <c r="AC19" s="62"/>
      <c r="AD19" s="62"/>
      <c r="AE19" s="62"/>
      <c r="AF19" s="58"/>
      <c r="AG19" s="58"/>
      <c r="AH19" s="58"/>
      <c r="AI19" s="58"/>
      <c r="AJ19" s="58"/>
      <c r="AK19" s="58"/>
      <c r="AL19" s="58"/>
      <c r="AM19" s="58"/>
      <c r="AN19" s="74" t="str">
        <f>"0x"&amp;MID($B19,27,2)</f>
        <v>0xB8</v>
      </c>
    </row>
    <row r="20">
      <c r="A20" s="33" t="str">
        <f>IFERROR(__xludf.DUMMYFUNCTION("LEFT(REGEXREPLACE($H20, ""(?i)^8301(E000|E100|E200|E300)?"", """"), 4)"),"E90F")</f>
        <v>E90F</v>
      </c>
      <c r="B20" s="34" t="str">
        <f>IFERROR(__xludf.DUMMYFUNCTION("REGEXREPLACE($H20, ""(?i)^8301(E000|E100|E200|E300)?"", """")"),"E90F00CF0F524D488FD1412AC8D1460701")</f>
        <v>E90F00CF0F524D488FD1412AC8D1460701</v>
      </c>
      <c r="C20" s="36" t="s">
        <v>42</v>
      </c>
      <c r="D20" s="36" t="s">
        <v>383</v>
      </c>
      <c r="E20" s="36" t="s">
        <v>106</v>
      </c>
      <c r="F20" s="36" t="s">
        <v>107</v>
      </c>
      <c r="G20" s="37">
        <v>46220.0</v>
      </c>
      <c r="H20" s="38" t="s">
        <v>331</v>
      </c>
      <c r="I20" s="36"/>
      <c r="J20" s="39" t="str">
        <f t="shared" si="2"/>
        <v>0x0F</v>
      </c>
      <c r="K20" s="40" t="str">
        <f t="shared" si="3"/>
        <v>0x00</v>
      </c>
      <c r="L20" s="40" t="str">
        <f t="shared" si="4"/>
        <v>0xCF</v>
      </c>
      <c r="M20" s="42">
        <v>2.0</v>
      </c>
      <c r="N20" s="42" t="str">
        <f t="shared" si="9"/>
        <v>0x0F</v>
      </c>
      <c r="O20" s="48" t="str">
        <f t="shared" si="10"/>
        <v>0x52</v>
      </c>
      <c r="P20" s="48" t="str">
        <f t="shared" si="11"/>
        <v>0x4D</v>
      </c>
      <c r="Q20" s="48"/>
      <c r="R20" s="42"/>
      <c r="S20" s="48"/>
      <c r="T20" s="48"/>
      <c r="U20" s="48"/>
      <c r="V20" s="40">
        <v>15.0</v>
      </c>
      <c r="W20" s="40" t="str">
        <f t="shared" ref="W20:AF20" si="32">"0x" &amp; MID($B20,$V20  + 2*(COLUMN() - COLUMN($W20)), 2)</f>
        <v>0x48</v>
      </c>
      <c r="X20" s="40" t="str">
        <f t="shared" si="32"/>
        <v>0x8F</v>
      </c>
      <c r="Y20" s="40" t="str">
        <f t="shared" si="32"/>
        <v>0xD1</v>
      </c>
      <c r="Z20" s="40" t="str">
        <f t="shared" si="32"/>
        <v>0x41</v>
      </c>
      <c r="AA20" s="40" t="str">
        <f t="shared" si="32"/>
        <v>0x2A</v>
      </c>
      <c r="AB20" s="40" t="str">
        <f t="shared" si="32"/>
        <v>0xC8</v>
      </c>
      <c r="AC20" s="40" t="str">
        <f t="shared" si="32"/>
        <v>0xD1</v>
      </c>
      <c r="AD20" s="40" t="str">
        <f t="shared" si="32"/>
        <v>0x46</v>
      </c>
      <c r="AE20" s="40" t="str">
        <f t="shared" si="32"/>
        <v>0x07</v>
      </c>
      <c r="AF20" s="40" t="str">
        <f t="shared" si="32"/>
        <v>0x01</v>
      </c>
      <c r="AG20" s="40"/>
      <c r="AH20" s="40"/>
      <c r="AI20" s="40"/>
      <c r="AJ20" s="40"/>
      <c r="AK20" s="40"/>
      <c r="AL20" s="40"/>
      <c r="AM20" s="40"/>
      <c r="AN20" s="75"/>
    </row>
    <row r="21">
      <c r="A21" s="51" t="str">
        <f>IFERROR(__xludf.DUMMYFUNCTION("LEFT(REGEXREPLACE($H21, ""(?i)^8301(E000|E100|E200|E300)?"", """"), 4)"),"E910")</f>
        <v>E910</v>
      </c>
      <c r="B21" s="52" t="str">
        <f>IFERROR(__xludf.DUMMYFUNCTION("REGEXREPLACE($H21, ""(?i)^8301(E000|E100|E200|E300)?"", """")"),"E91000034896D00E84D146060330D04E07B0")</f>
        <v>E91000034896D00E84D146060330D04E07B0</v>
      </c>
      <c r="C21" s="65" t="s">
        <v>60</v>
      </c>
      <c r="D21" s="65" t="s">
        <v>397</v>
      </c>
      <c r="E21" s="65" t="s">
        <v>217</v>
      </c>
      <c r="F21" s="65" t="s">
        <v>218</v>
      </c>
      <c r="G21" s="67">
        <v>46244.0</v>
      </c>
      <c r="H21" s="68" t="s">
        <v>399</v>
      </c>
      <c r="I21" s="65" t="s">
        <v>153</v>
      </c>
      <c r="J21" s="57" t="str">
        <f t="shared" si="2"/>
        <v>0x10</v>
      </c>
      <c r="K21" s="58" t="str">
        <f t="shared" si="3"/>
        <v>0x00</v>
      </c>
      <c r="L21" s="58" t="str">
        <f t="shared" si="4"/>
        <v>0x03</v>
      </c>
      <c r="M21" s="59"/>
      <c r="N21" s="59"/>
      <c r="O21" s="71"/>
      <c r="P21" s="71"/>
      <c r="Q21" s="71"/>
      <c r="R21" s="59"/>
      <c r="S21" s="71"/>
      <c r="T21" s="71"/>
      <c r="U21" s="71"/>
      <c r="V21" s="58">
        <v>9.0</v>
      </c>
      <c r="W21" s="58" t="str">
        <f t="shared" ref="W21:AI21" si="33">"0x" &amp; MID($B21,$V21  + 2*(COLUMN() - COLUMN($W21)), 2)</f>
        <v>0x48</v>
      </c>
      <c r="X21" s="58" t="str">
        <f t="shared" si="33"/>
        <v>0x96</v>
      </c>
      <c r="Y21" s="58" t="str">
        <f t="shared" si="33"/>
        <v>0xD0</v>
      </c>
      <c r="Z21" s="58" t="str">
        <f t="shared" si="33"/>
        <v>0x0E</v>
      </c>
      <c r="AA21" s="58" t="str">
        <f t="shared" si="33"/>
        <v>0x84</v>
      </c>
      <c r="AB21" s="58" t="str">
        <f t="shared" si="33"/>
        <v>0xD1</v>
      </c>
      <c r="AC21" s="58" t="str">
        <f t="shared" si="33"/>
        <v>0x46</v>
      </c>
      <c r="AD21" s="58" t="str">
        <f t="shared" si="33"/>
        <v>0x06</v>
      </c>
      <c r="AE21" s="58" t="str">
        <f t="shared" si="33"/>
        <v>0x03</v>
      </c>
      <c r="AF21" s="58" t="str">
        <f t="shared" si="33"/>
        <v>0x30</v>
      </c>
      <c r="AG21" s="58" t="str">
        <f t="shared" si="33"/>
        <v>0xD0</v>
      </c>
      <c r="AH21" s="58" t="str">
        <f t="shared" si="33"/>
        <v>0x4E</v>
      </c>
      <c r="AI21" s="58" t="str">
        <f t="shared" si="33"/>
        <v>0x07</v>
      </c>
      <c r="AJ21" s="58"/>
      <c r="AK21" s="58"/>
      <c r="AL21" s="58"/>
      <c r="AM21" s="58"/>
      <c r="AN21" s="88" t="str">
        <f>"0x"&amp;MID($B21,35,2)</f>
        <v>0xB0</v>
      </c>
    </row>
    <row r="22">
      <c r="A22" s="33" t="str">
        <f>IFERROR(__xludf.DUMMYFUNCTION("LEFT(REGEXREPLACE($H22, ""(?i)^8301(E000|E100|E200|E300)?"", """"), 4)"),"E912")</f>
        <v>E912</v>
      </c>
      <c r="B22" s="34" t="str">
        <f>IFERROR(__xludf.DUMMYFUNCTION("REGEXREPLACE($H22, ""(?i)^8301(E000|E100|E200|E300)?"", """")"),"E91200184896D00E86D04D83D037F0D13D050AB0")</f>
        <v>E91200184896D00E86D04D83D037F0D13D050AB0</v>
      </c>
      <c r="C22" s="36" t="s">
        <v>60</v>
      </c>
      <c r="D22" s="36" t="s">
        <v>410</v>
      </c>
      <c r="E22" s="36" t="s">
        <v>75</v>
      </c>
      <c r="F22" s="36" t="s">
        <v>143</v>
      </c>
      <c r="G22" s="37">
        <v>46208.0</v>
      </c>
      <c r="H22" s="38" t="s">
        <v>407</v>
      </c>
      <c r="I22" s="36" t="s">
        <v>153</v>
      </c>
      <c r="J22" s="39" t="str">
        <f t="shared" si="2"/>
        <v>0x12</v>
      </c>
      <c r="K22" s="40" t="str">
        <f t="shared" si="3"/>
        <v>0x00</v>
      </c>
      <c r="L22" s="40" t="str">
        <f t="shared" si="4"/>
        <v>0x18</v>
      </c>
      <c r="M22" s="42"/>
      <c r="N22" s="42"/>
      <c r="O22" s="48"/>
      <c r="P22" s="48"/>
      <c r="Q22" s="48"/>
      <c r="R22" s="42"/>
      <c r="S22" s="72"/>
      <c r="T22" s="72"/>
      <c r="U22" s="72"/>
      <c r="V22" s="73">
        <v>9.0</v>
      </c>
      <c r="W22" s="47" t="str">
        <f t="shared" ref="W22:AK22" si="34">"0x" &amp; MID($B22,$V22  + 2*(COLUMN() - COLUMN($W22)), 2)</f>
        <v>0x48</v>
      </c>
      <c r="X22" s="47" t="str">
        <f t="shared" si="34"/>
        <v>0x96</v>
      </c>
      <c r="Y22" s="47" t="str">
        <f t="shared" si="34"/>
        <v>0xD0</v>
      </c>
      <c r="Z22" s="47" t="str">
        <f t="shared" si="34"/>
        <v>0x0E</v>
      </c>
      <c r="AA22" s="47" t="str">
        <f t="shared" si="34"/>
        <v>0x86</v>
      </c>
      <c r="AB22" s="47" t="str">
        <f t="shared" si="34"/>
        <v>0xD0</v>
      </c>
      <c r="AC22" s="47" t="str">
        <f t="shared" si="34"/>
        <v>0x4D</v>
      </c>
      <c r="AD22" s="47" t="str">
        <f t="shared" si="34"/>
        <v>0x83</v>
      </c>
      <c r="AE22" s="47" t="str">
        <f t="shared" si="34"/>
        <v>0xD0</v>
      </c>
      <c r="AF22" s="47" t="str">
        <f t="shared" si="34"/>
        <v>0x37</v>
      </c>
      <c r="AG22" s="47" t="str">
        <f t="shared" si="34"/>
        <v>0xF0</v>
      </c>
      <c r="AH22" s="47" t="str">
        <f t="shared" si="34"/>
        <v>0xD1</v>
      </c>
      <c r="AI22" s="47" t="str">
        <f t="shared" si="34"/>
        <v>0x3D</v>
      </c>
      <c r="AJ22" s="47" t="str">
        <f t="shared" si="34"/>
        <v>0x05</v>
      </c>
      <c r="AK22" s="47" t="str">
        <f t="shared" si="34"/>
        <v>0x0A</v>
      </c>
      <c r="AL22" s="47"/>
      <c r="AM22" s="47"/>
      <c r="AN22" s="64" t="str">
        <f t="shared" ref="AN22:AN23" si="36">"0x"&amp;MID($B22,39,2)</f>
        <v>0xB0</v>
      </c>
    </row>
    <row r="23">
      <c r="A23" s="51" t="str">
        <f>IFERROR(__xludf.DUMMYFUNCTION("LEFT(REGEXREPLACE($H23, ""(?i)^8301(E000|E100|E200|E300)?"", """"), 4)"),"E912")</f>
        <v>E912</v>
      </c>
      <c r="B23" s="52" t="str">
        <f>IFERROR(__xludf.DUMMYFUNCTION("REGEXREPLACE($H23, ""(?i)^8301(E000|E100|E200|E300)?"", """")"),"E91200114896D00E8BD04D83D037F0D13D0504B0")</f>
        <v>E91200114896D00E8BD04D83D037F0D13D0504B0</v>
      </c>
      <c r="C23" s="65" t="s">
        <v>60</v>
      </c>
      <c r="D23" s="65" t="s">
        <v>410</v>
      </c>
      <c r="E23" s="65" t="s">
        <v>129</v>
      </c>
      <c r="F23" s="89" t="s">
        <v>137</v>
      </c>
      <c r="G23" s="67">
        <v>46240.0</v>
      </c>
      <c r="H23" s="56" t="s">
        <v>412</v>
      </c>
      <c r="I23" s="65" t="s">
        <v>153</v>
      </c>
      <c r="J23" s="57" t="str">
        <f t="shared" si="2"/>
        <v>0x12</v>
      </c>
      <c r="K23" s="58" t="str">
        <f t="shared" si="3"/>
        <v>0x00</v>
      </c>
      <c r="L23" s="58" t="str">
        <f t="shared" si="4"/>
        <v>0x11</v>
      </c>
      <c r="M23" s="59"/>
      <c r="N23" s="59"/>
      <c r="O23" s="71"/>
      <c r="P23" s="71"/>
      <c r="Q23" s="71"/>
      <c r="R23" s="59"/>
      <c r="S23" s="84"/>
      <c r="T23" s="84"/>
      <c r="U23" s="84"/>
      <c r="V23" s="90">
        <v>9.0</v>
      </c>
      <c r="W23" s="62" t="str">
        <f t="shared" ref="W23:AK23" si="35">"0x" &amp; MID($B23,$V23  + 2*(COLUMN() - COLUMN($W23)), 2)</f>
        <v>0x48</v>
      </c>
      <c r="X23" s="62" t="str">
        <f t="shared" si="35"/>
        <v>0x96</v>
      </c>
      <c r="Y23" s="62" t="str">
        <f t="shared" si="35"/>
        <v>0xD0</v>
      </c>
      <c r="Z23" s="62" t="str">
        <f t="shared" si="35"/>
        <v>0x0E</v>
      </c>
      <c r="AA23" s="62" t="str">
        <f t="shared" si="35"/>
        <v>0x8B</v>
      </c>
      <c r="AB23" s="62" t="str">
        <f t="shared" si="35"/>
        <v>0xD0</v>
      </c>
      <c r="AC23" s="62" t="str">
        <f t="shared" si="35"/>
        <v>0x4D</v>
      </c>
      <c r="AD23" s="62" t="str">
        <f t="shared" si="35"/>
        <v>0x83</v>
      </c>
      <c r="AE23" s="62" t="str">
        <f t="shared" si="35"/>
        <v>0xD0</v>
      </c>
      <c r="AF23" s="62" t="str">
        <f t="shared" si="35"/>
        <v>0x37</v>
      </c>
      <c r="AG23" s="62" t="str">
        <f t="shared" si="35"/>
        <v>0xF0</v>
      </c>
      <c r="AH23" s="62" t="str">
        <f t="shared" si="35"/>
        <v>0xD1</v>
      </c>
      <c r="AI23" s="62" t="str">
        <f t="shared" si="35"/>
        <v>0x3D</v>
      </c>
      <c r="AJ23" s="62" t="str">
        <f t="shared" si="35"/>
        <v>0x05</v>
      </c>
      <c r="AK23" s="62" t="str">
        <f t="shared" si="35"/>
        <v>0x04</v>
      </c>
      <c r="AL23" s="62"/>
      <c r="AM23" s="62"/>
      <c r="AN23" s="74" t="str">
        <f t="shared" si="36"/>
        <v>0xB0</v>
      </c>
    </row>
    <row r="24">
      <c r="A24" s="33" t="str">
        <f>IFERROR(__xludf.DUMMYFUNCTION("LEFT(REGEXREPLACE($H24, ""(?i)^8301(E000|E100|E200|E300)?"", """"), 4)"),"E910")</f>
        <v>E910</v>
      </c>
      <c r="B24" s="34" t="str">
        <f>IFERROR(__xludf.DUMMYFUNCTION("REGEXREPLACE($H24, ""(?i)^8301(E000|E100|E200|E300)?"", """")"),"E91000434896D00E97D146063730D04E25B0")</f>
        <v>E91000434896D00E97D146063730D04E25B0</v>
      </c>
      <c r="C24" s="36" t="s">
        <v>60</v>
      </c>
      <c r="D24" s="36" t="s">
        <v>440</v>
      </c>
      <c r="E24" s="36" t="s">
        <v>129</v>
      </c>
      <c r="F24" s="36" t="s">
        <v>137</v>
      </c>
      <c r="G24" s="37">
        <v>46207.0</v>
      </c>
      <c r="H24" s="44" t="s">
        <v>348</v>
      </c>
      <c r="I24" s="36" t="s">
        <v>153</v>
      </c>
      <c r="J24" s="39" t="str">
        <f t="shared" si="2"/>
        <v>0x10</v>
      </c>
      <c r="K24" s="40" t="str">
        <f t="shared" si="3"/>
        <v>0x00</v>
      </c>
      <c r="L24" s="40" t="str">
        <f t="shared" si="4"/>
        <v>0x43</v>
      </c>
      <c r="M24" s="42"/>
      <c r="N24" s="42"/>
      <c r="O24" s="48"/>
      <c r="P24" s="48"/>
      <c r="Q24" s="48"/>
      <c r="R24" s="42"/>
      <c r="S24" s="48"/>
      <c r="T24" s="48"/>
      <c r="U24" s="48"/>
      <c r="V24" s="40">
        <v>9.0</v>
      </c>
      <c r="W24" s="40" t="str">
        <f t="shared" ref="W24:AI24" si="37">"0x" &amp; MID($B24,$V24  + 2*(COLUMN() - COLUMN($W24)), 2)</f>
        <v>0x48</v>
      </c>
      <c r="X24" s="40" t="str">
        <f t="shared" si="37"/>
        <v>0x96</v>
      </c>
      <c r="Y24" s="40" t="str">
        <f t="shared" si="37"/>
        <v>0xD0</v>
      </c>
      <c r="Z24" s="40" t="str">
        <f t="shared" si="37"/>
        <v>0x0E</v>
      </c>
      <c r="AA24" s="40" t="str">
        <f t="shared" si="37"/>
        <v>0x97</v>
      </c>
      <c r="AB24" s="40" t="str">
        <f t="shared" si="37"/>
        <v>0xD1</v>
      </c>
      <c r="AC24" s="40" t="str">
        <f t="shared" si="37"/>
        <v>0x46</v>
      </c>
      <c r="AD24" s="40" t="str">
        <f t="shared" si="37"/>
        <v>0x06</v>
      </c>
      <c r="AE24" s="40" t="str">
        <f t="shared" si="37"/>
        <v>0x37</v>
      </c>
      <c r="AF24" s="40" t="str">
        <f t="shared" si="37"/>
        <v>0x30</v>
      </c>
      <c r="AG24" s="40" t="str">
        <f t="shared" si="37"/>
        <v>0xD0</v>
      </c>
      <c r="AH24" s="40" t="str">
        <f t="shared" si="37"/>
        <v>0x4E</v>
      </c>
      <c r="AI24" s="40" t="str">
        <f t="shared" si="37"/>
        <v>0x25</v>
      </c>
      <c r="AJ24" s="40"/>
      <c r="AK24" s="40"/>
      <c r="AL24" s="40"/>
      <c r="AM24" s="40"/>
      <c r="AN24" s="75" t="str">
        <f t="shared" ref="AN24:AN27" si="39">"0x"&amp;MID($B24,35,2)</f>
        <v>0xB0</v>
      </c>
    </row>
    <row r="25">
      <c r="A25" s="51" t="str">
        <f>IFERROR(__xludf.DUMMYFUNCTION("LEFT(REGEXREPLACE($H25, ""(?i)^8301(E000|E100|E200|E300)?"", """"), 4)"),"E910")</f>
        <v>E910</v>
      </c>
      <c r="B25" s="52" t="str">
        <f>IFERROR(__xludf.DUMMYFUNCTION("REGEXREPLACE($H25, ""(?i)^8301(E000|E100|E200|E300)?"", """")"),"E910004C4897D00E80D146052030D04E00B0")</f>
        <v>E910004C4897D00E80D146052030D04E00B0</v>
      </c>
      <c r="C25" s="65" t="s">
        <v>60</v>
      </c>
      <c r="D25" s="65" t="s">
        <v>455</v>
      </c>
      <c r="E25" s="65" t="s">
        <v>75</v>
      </c>
      <c r="F25" s="65" t="s">
        <v>143</v>
      </c>
      <c r="G25" s="67">
        <v>46208.0</v>
      </c>
      <c r="H25" s="68" t="s">
        <v>349</v>
      </c>
      <c r="I25" s="65"/>
      <c r="J25" s="91" t="str">
        <f t="shared" si="2"/>
        <v>0x10</v>
      </c>
      <c r="K25" s="62" t="str">
        <f t="shared" si="3"/>
        <v>0x00</v>
      </c>
      <c r="L25" s="62" t="str">
        <f t="shared" si="4"/>
        <v>0x4C</v>
      </c>
      <c r="M25" s="86"/>
      <c r="N25" s="86"/>
      <c r="O25" s="85"/>
      <c r="P25" s="85"/>
      <c r="Q25" s="85"/>
      <c r="R25" s="86"/>
      <c r="S25" s="85"/>
      <c r="T25" s="85"/>
      <c r="U25" s="85"/>
      <c r="V25" s="90">
        <v>9.0</v>
      </c>
      <c r="W25" s="62" t="str">
        <f t="shared" ref="W25:AI25" si="38">"0x" &amp; MID($B25,$V25  + 2*(COLUMN() - COLUMN($W25)), 2)</f>
        <v>0x48</v>
      </c>
      <c r="X25" s="62" t="str">
        <f t="shared" si="38"/>
        <v>0x97</v>
      </c>
      <c r="Y25" s="62" t="str">
        <f t="shared" si="38"/>
        <v>0xD0</v>
      </c>
      <c r="Z25" s="62" t="str">
        <f t="shared" si="38"/>
        <v>0x0E</v>
      </c>
      <c r="AA25" s="62" t="str">
        <f t="shared" si="38"/>
        <v>0x80</v>
      </c>
      <c r="AB25" s="62" t="str">
        <f t="shared" si="38"/>
        <v>0xD1</v>
      </c>
      <c r="AC25" s="62" t="str">
        <f t="shared" si="38"/>
        <v>0x46</v>
      </c>
      <c r="AD25" s="62" t="str">
        <f t="shared" si="38"/>
        <v>0x05</v>
      </c>
      <c r="AE25" s="62" t="str">
        <f t="shared" si="38"/>
        <v>0x20</v>
      </c>
      <c r="AF25" s="62" t="str">
        <f t="shared" si="38"/>
        <v>0x30</v>
      </c>
      <c r="AG25" s="62" t="str">
        <f t="shared" si="38"/>
        <v>0xD0</v>
      </c>
      <c r="AH25" s="62" t="str">
        <f t="shared" si="38"/>
        <v>0x4E</v>
      </c>
      <c r="AI25" s="62" t="str">
        <f t="shared" si="38"/>
        <v>0x00</v>
      </c>
      <c r="AJ25" s="62"/>
      <c r="AK25" s="62"/>
      <c r="AL25" s="62"/>
      <c r="AM25" s="62"/>
      <c r="AN25" s="74" t="str">
        <f t="shared" si="39"/>
        <v>0xB0</v>
      </c>
    </row>
    <row r="26">
      <c r="A26" s="33" t="str">
        <f>IFERROR(__xludf.DUMMYFUNCTION("LEFT(REGEXREPLACE($H26, ""(?i)^8301(E000|E100|E200|E300)?"", """"), 4)"),"E910")</f>
        <v>E910</v>
      </c>
      <c r="B26" s="34" t="str">
        <f>IFERROR(__xludf.DUMMYFUNCTION("REGEXREPLACE($H26, ""(?i)^8301(E000|E100|E200|E300)?"", """")"),"E91000544897D00E80D146060F30D04E00B0")</f>
        <v>E91000544897D00E80D146060F30D04E00B0</v>
      </c>
      <c r="C26" s="36" t="s">
        <v>60</v>
      </c>
      <c r="D26" s="36" t="s">
        <v>455</v>
      </c>
      <c r="E26" s="36" t="s">
        <v>217</v>
      </c>
      <c r="F26" s="36" t="s">
        <v>218</v>
      </c>
      <c r="G26" s="37">
        <v>46244.0</v>
      </c>
      <c r="H26" s="38" t="s">
        <v>467</v>
      </c>
      <c r="I26" s="36"/>
      <c r="J26" s="39" t="str">
        <f t="shared" si="2"/>
        <v>0x10</v>
      </c>
      <c r="K26" s="40" t="str">
        <f t="shared" si="3"/>
        <v>0x00</v>
      </c>
      <c r="L26" s="40" t="str">
        <f t="shared" si="4"/>
        <v>0x54</v>
      </c>
      <c r="M26" s="42"/>
      <c r="N26" s="42"/>
      <c r="O26" s="45"/>
      <c r="P26" s="45"/>
      <c r="Q26" s="45"/>
      <c r="R26" s="46"/>
      <c r="S26" s="45"/>
      <c r="T26" s="45"/>
      <c r="U26" s="45"/>
      <c r="V26" s="73">
        <v>9.0</v>
      </c>
      <c r="W26" s="40" t="str">
        <f t="shared" ref="W26:AI26" si="40">"0x" &amp; MID($B26,$V26  + 2*(COLUMN() - COLUMN($W26)), 2)</f>
        <v>0x48</v>
      </c>
      <c r="X26" s="40" t="str">
        <f t="shared" si="40"/>
        <v>0x97</v>
      </c>
      <c r="Y26" s="40" t="str">
        <f t="shared" si="40"/>
        <v>0xD0</v>
      </c>
      <c r="Z26" s="40" t="str">
        <f t="shared" si="40"/>
        <v>0x0E</v>
      </c>
      <c r="AA26" s="40" t="str">
        <f t="shared" si="40"/>
        <v>0x80</v>
      </c>
      <c r="AB26" s="40" t="str">
        <f t="shared" si="40"/>
        <v>0xD1</v>
      </c>
      <c r="AC26" s="40" t="str">
        <f t="shared" si="40"/>
        <v>0x46</v>
      </c>
      <c r="AD26" s="40" t="str">
        <f t="shared" si="40"/>
        <v>0x06</v>
      </c>
      <c r="AE26" s="40" t="str">
        <f t="shared" si="40"/>
        <v>0x0F</v>
      </c>
      <c r="AF26" s="40" t="str">
        <f t="shared" si="40"/>
        <v>0x30</v>
      </c>
      <c r="AG26" s="40" t="str">
        <f t="shared" si="40"/>
        <v>0xD0</v>
      </c>
      <c r="AH26" s="40" t="str">
        <f t="shared" si="40"/>
        <v>0x4E</v>
      </c>
      <c r="AI26" s="40" t="str">
        <f t="shared" si="40"/>
        <v>0x00</v>
      </c>
      <c r="AJ26" s="40"/>
      <c r="AK26" s="40"/>
      <c r="AL26" s="40"/>
      <c r="AM26" s="40"/>
      <c r="AN26" s="64" t="str">
        <f t="shared" si="39"/>
        <v>0xB0</v>
      </c>
    </row>
    <row r="27">
      <c r="A27" s="51" t="str">
        <f>IFERROR(__xludf.DUMMYFUNCTION("LEFT(REGEXREPLACE($H27, ""(?i)^8301(E000|E100|E200|E300)?"", """"), 4)"),"E910")</f>
        <v>E910</v>
      </c>
      <c r="B27" s="52" t="str">
        <f>IFERROR(__xludf.DUMMYFUNCTION("REGEXREPLACE($H27, ""(?i)^8301(E000|E100|E200|E300)?"", """")"),"E910006F4897D00E80D146091930D04E00B0")</f>
        <v>E910006F4897D00E80D146091930D04E00B0</v>
      </c>
      <c r="C27" s="65" t="s">
        <v>60</v>
      </c>
      <c r="D27" s="65" t="s">
        <v>473</v>
      </c>
      <c r="E27" s="65" t="s">
        <v>75</v>
      </c>
      <c r="F27" s="65" t="s">
        <v>120</v>
      </c>
      <c r="G27" s="67"/>
      <c r="H27" s="68" t="s">
        <v>474</v>
      </c>
      <c r="I27" s="53"/>
      <c r="J27" s="57" t="str">
        <f t="shared" si="2"/>
        <v>0x10</v>
      </c>
      <c r="K27" s="58" t="str">
        <f t="shared" si="3"/>
        <v>0x00</v>
      </c>
      <c r="L27" s="58" t="str">
        <f t="shared" si="4"/>
        <v>0x6F</v>
      </c>
      <c r="M27" s="59"/>
      <c r="N27" s="59"/>
      <c r="O27" s="71"/>
      <c r="P27" s="71"/>
      <c r="Q27" s="71"/>
      <c r="R27" s="59"/>
      <c r="S27" s="84"/>
      <c r="T27" s="84"/>
      <c r="U27" s="84"/>
      <c r="V27" s="90">
        <v>9.0</v>
      </c>
      <c r="W27" s="62" t="str">
        <f t="shared" ref="W27:AI27" si="41">"0x" &amp; MID($B27,$V27  + 2*(COLUMN() - COLUMN($W27)), 2)</f>
        <v>0x48</v>
      </c>
      <c r="X27" s="62" t="str">
        <f t="shared" si="41"/>
        <v>0x97</v>
      </c>
      <c r="Y27" s="62" t="str">
        <f t="shared" si="41"/>
        <v>0xD0</v>
      </c>
      <c r="Z27" s="62" t="str">
        <f t="shared" si="41"/>
        <v>0x0E</v>
      </c>
      <c r="AA27" s="62" t="str">
        <f t="shared" si="41"/>
        <v>0x80</v>
      </c>
      <c r="AB27" s="62" t="str">
        <f t="shared" si="41"/>
        <v>0xD1</v>
      </c>
      <c r="AC27" s="62" t="str">
        <f t="shared" si="41"/>
        <v>0x46</v>
      </c>
      <c r="AD27" s="62" t="str">
        <f t="shared" si="41"/>
        <v>0x09</v>
      </c>
      <c r="AE27" s="62" t="str">
        <f t="shared" si="41"/>
        <v>0x19</v>
      </c>
      <c r="AF27" s="62" t="str">
        <f t="shared" si="41"/>
        <v>0x30</v>
      </c>
      <c r="AG27" s="62" t="str">
        <f t="shared" si="41"/>
        <v>0xD0</v>
      </c>
      <c r="AH27" s="62" t="str">
        <f t="shared" si="41"/>
        <v>0x4E</v>
      </c>
      <c r="AI27" s="62" t="str">
        <f t="shared" si="41"/>
        <v>0x00</v>
      </c>
      <c r="AJ27" s="62"/>
      <c r="AK27" s="58"/>
      <c r="AL27" s="58"/>
      <c r="AM27" s="58"/>
      <c r="AN27" s="88" t="str">
        <f t="shared" si="39"/>
        <v>0xB0</v>
      </c>
    </row>
    <row r="28">
      <c r="A28" s="33" t="str">
        <f>IFERROR(__xludf.DUMMYFUNCTION("LEFT(REGEXREPLACE($H28, ""(?i)^8301(E000|E100|E200|E300)?"", """"), 4)"),"E90F")</f>
        <v>E90F</v>
      </c>
      <c r="B28" s="34" t="str">
        <f>IFERROR(__xludf.DUMMYFUNCTION("REGEXREPLACE($H28, ""(?i)^8301(E000|E100|E200|E300)?"", """")"),"E90F004F4897D00E80D146091E30D04E00")</f>
        <v>E90F004F4897D00E80D146091E30D04E00</v>
      </c>
      <c r="C28" s="36" t="s">
        <v>60</v>
      </c>
      <c r="D28" s="36" t="s">
        <v>473</v>
      </c>
      <c r="E28" s="36" t="s">
        <v>106</v>
      </c>
      <c r="F28" s="36" t="s">
        <v>107</v>
      </c>
      <c r="G28" s="37">
        <v>46220.0</v>
      </c>
      <c r="H28" s="38" t="s">
        <v>329</v>
      </c>
      <c r="I28" s="36"/>
      <c r="J28" s="92" t="str">
        <f t="shared" si="2"/>
        <v>0x0F</v>
      </c>
      <c r="K28" s="47" t="str">
        <f t="shared" si="3"/>
        <v>0x00</v>
      </c>
      <c r="L28" s="47" t="str">
        <f t="shared" si="4"/>
        <v>0x4F</v>
      </c>
      <c r="M28" s="80"/>
      <c r="N28" s="80"/>
      <c r="O28" s="79"/>
      <c r="P28" s="79"/>
      <c r="Q28" s="79"/>
      <c r="R28" s="80"/>
      <c r="S28" s="79"/>
      <c r="T28" s="79"/>
      <c r="U28" s="79"/>
      <c r="V28" s="73">
        <v>9.0</v>
      </c>
      <c r="W28" s="47" t="str">
        <f t="shared" ref="W28:AI28" si="42">"0x" &amp; MID($B28,$V28  + 2*(COLUMN() - COLUMN($W28)), 2)</f>
        <v>0x48</v>
      </c>
      <c r="X28" s="47" t="str">
        <f t="shared" si="42"/>
        <v>0x97</v>
      </c>
      <c r="Y28" s="47" t="str">
        <f t="shared" si="42"/>
        <v>0xD0</v>
      </c>
      <c r="Z28" s="47" t="str">
        <f t="shared" si="42"/>
        <v>0x0E</v>
      </c>
      <c r="AA28" s="47" t="str">
        <f t="shared" si="42"/>
        <v>0x80</v>
      </c>
      <c r="AB28" s="47" t="str">
        <f t="shared" si="42"/>
        <v>0xD1</v>
      </c>
      <c r="AC28" s="47" t="str">
        <f t="shared" si="42"/>
        <v>0x46</v>
      </c>
      <c r="AD28" s="47" t="str">
        <f t="shared" si="42"/>
        <v>0x09</v>
      </c>
      <c r="AE28" s="47" t="str">
        <f t="shared" si="42"/>
        <v>0x1E</v>
      </c>
      <c r="AF28" s="47" t="str">
        <f t="shared" si="42"/>
        <v>0x30</v>
      </c>
      <c r="AG28" s="47" t="str">
        <f t="shared" si="42"/>
        <v>0xD0</v>
      </c>
      <c r="AH28" s="47" t="str">
        <f t="shared" si="42"/>
        <v>0x4E</v>
      </c>
      <c r="AI28" s="47" t="str">
        <f t="shared" si="42"/>
        <v>0x00</v>
      </c>
      <c r="AJ28" s="47"/>
      <c r="AK28" s="47"/>
      <c r="AL28" s="47"/>
      <c r="AM28" s="47"/>
      <c r="AN28" s="64"/>
    </row>
    <row r="29">
      <c r="A29" s="51" t="str">
        <f>IFERROR(__xludf.DUMMYFUNCTION("LEFT(REGEXREPLACE($H29, ""(?i)^8301(E000|E100|E200|E300)?"", """"), 4)"),"CD07")</f>
        <v>CD07</v>
      </c>
      <c r="B29" s="52" t="str">
        <f>IFERROR(__xludf.DUMMYFUNCTION("REGEXREPLACE($H29, ""(?i)^8301(E000|E100|E200|E300)?"", """")"),"CD070E071C48000000")</f>
        <v>CD070E071C48000000</v>
      </c>
      <c r="C29" s="53"/>
      <c r="D29" s="53"/>
      <c r="E29" s="65" t="s">
        <v>75</v>
      </c>
      <c r="F29" s="65" t="s">
        <v>76</v>
      </c>
      <c r="G29" s="67">
        <v>46219.0</v>
      </c>
      <c r="H29" s="68" t="s">
        <v>87</v>
      </c>
      <c r="I29" s="53"/>
      <c r="J29" s="57" t="str">
        <f t="shared" si="2"/>
        <v>0x07</v>
      </c>
      <c r="K29" s="58" t="str">
        <f t="shared" si="3"/>
        <v>0x0E</v>
      </c>
      <c r="L29" s="58" t="str">
        <f t="shared" si="4"/>
        <v>0x07</v>
      </c>
      <c r="M29" s="59">
        <v>1.0</v>
      </c>
      <c r="N29" s="59"/>
      <c r="O29" s="60" t="str">
        <f>"0x"&amp;MID($B29,9,2)</f>
        <v>0x1C</v>
      </c>
      <c r="P29" s="60"/>
      <c r="Q29" s="60"/>
      <c r="R29" s="61"/>
      <c r="S29" s="60"/>
      <c r="T29" s="60"/>
      <c r="U29" s="60"/>
      <c r="V29" s="58">
        <v>11.0</v>
      </c>
      <c r="W29" s="62" t="str">
        <f t="shared" ref="W29:Z29" si="43">"0x" &amp; MID($B29,$V29  + 2*(COLUMN() - COLUMN($W29)), 2)</f>
        <v>0x48</v>
      </c>
      <c r="X29" s="62" t="str">
        <f t="shared" si="43"/>
        <v>0x00</v>
      </c>
      <c r="Y29" s="62" t="str">
        <f t="shared" si="43"/>
        <v>0x00</v>
      </c>
      <c r="Z29" s="62" t="str">
        <f t="shared" si="43"/>
        <v>0x00</v>
      </c>
      <c r="AA29" s="63"/>
      <c r="AB29" s="63"/>
      <c r="AC29" s="63"/>
      <c r="AD29" s="63"/>
      <c r="AE29" s="63"/>
      <c r="AF29" s="63"/>
      <c r="AG29" s="63"/>
      <c r="AH29" s="63"/>
      <c r="AI29" s="63"/>
      <c r="AJ29" s="63"/>
      <c r="AK29" s="63"/>
      <c r="AL29" s="63"/>
      <c r="AM29" s="63"/>
      <c r="AN29" s="66"/>
    </row>
    <row r="30">
      <c r="A30" s="33" t="str">
        <f>IFERROR(__xludf.DUMMYFUNCTION("LEFT(REGEXREPLACE($H30, ""(?i)^8301(E000|E100|E200|E300)?"", """"), 4)"),"E914")</f>
        <v>E914</v>
      </c>
      <c r="B30" s="34" t="str">
        <f>IFERROR(__xludf.DUMMYFUNCTION("REGEXREPLACE($H30, ""(?i)^8301(E000|E100|E200|E300)?"", """")"),"E914004C0F515D58F44882D06500D14657FF307B00B0")</f>
        <v>E914004C0F515D58F44882D06500D14657FF307B00B0</v>
      </c>
      <c r="C30" s="36" t="s">
        <v>14</v>
      </c>
      <c r="D30" s="36" t="s">
        <v>118</v>
      </c>
      <c r="E30" s="36" t="s">
        <v>75</v>
      </c>
      <c r="F30" s="36" t="s">
        <v>120</v>
      </c>
      <c r="G30" s="37">
        <v>46219.0</v>
      </c>
      <c r="H30" s="38" t="s">
        <v>432</v>
      </c>
      <c r="I30" s="36"/>
      <c r="J30" s="39" t="str">
        <f t="shared" si="2"/>
        <v>0x14</v>
      </c>
      <c r="K30" s="40" t="str">
        <f t="shared" si="3"/>
        <v>0x00</v>
      </c>
      <c r="L30" s="40" t="str">
        <f t="shared" si="4"/>
        <v>0x4C</v>
      </c>
      <c r="M30" s="77">
        <v>2.0</v>
      </c>
      <c r="N30" s="78" t="str">
        <f t="shared" ref="N30:N81" si="45">"0x"&amp;MID($B30,9,2)</f>
        <v>0x0F</v>
      </c>
      <c r="O30" s="72" t="str">
        <f t="shared" ref="O30:O81" si="46">"0x"&amp;MID($B30,11,2)</f>
        <v>0x51</v>
      </c>
      <c r="P30" s="72" t="str">
        <f t="shared" ref="P30:P81" si="47">"0x"&amp;MID($B30,13,2)</f>
        <v>0x5D</v>
      </c>
      <c r="Q30" s="79"/>
      <c r="R30" s="80"/>
      <c r="S30" s="79"/>
      <c r="T30" s="79"/>
      <c r="U30" s="79"/>
      <c r="V30" s="81">
        <v>15.0</v>
      </c>
      <c r="W30" s="40" t="str">
        <f t="shared" ref="W30:AJ30" si="44">"0x" &amp; MID($B30,$V30  + 2*(COLUMN() - COLUMN($W30)), 2)</f>
        <v>0x58</v>
      </c>
      <c r="X30" s="40" t="str">
        <f t="shared" si="44"/>
        <v>0xF4</v>
      </c>
      <c r="Y30" s="40" t="str">
        <f t="shared" si="44"/>
        <v>0x48</v>
      </c>
      <c r="Z30" s="40" t="str">
        <f t="shared" si="44"/>
        <v>0x82</v>
      </c>
      <c r="AA30" s="40" t="str">
        <f t="shared" si="44"/>
        <v>0xD0</v>
      </c>
      <c r="AB30" s="40" t="str">
        <f t="shared" si="44"/>
        <v>0x65</v>
      </c>
      <c r="AC30" s="40" t="str">
        <f t="shared" si="44"/>
        <v>0x00</v>
      </c>
      <c r="AD30" s="40" t="str">
        <f t="shared" si="44"/>
        <v>0xD1</v>
      </c>
      <c r="AE30" s="40" t="str">
        <f t="shared" si="44"/>
        <v>0x46</v>
      </c>
      <c r="AF30" s="40" t="str">
        <f t="shared" si="44"/>
        <v>0x57</v>
      </c>
      <c r="AG30" s="40" t="str">
        <f t="shared" si="44"/>
        <v>0xFF</v>
      </c>
      <c r="AH30" s="40" t="str">
        <f t="shared" si="44"/>
        <v>0x30</v>
      </c>
      <c r="AI30" s="40" t="str">
        <f t="shared" si="44"/>
        <v>0x7B</v>
      </c>
      <c r="AJ30" s="40" t="str">
        <f t="shared" si="44"/>
        <v>0x00</v>
      </c>
      <c r="AK30" s="40"/>
      <c r="AL30" s="40"/>
      <c r="AM30" s="40"/>
      <c r="AN30" s="64" t="str">
        <f>"0x"&amp;MID($B30,43,2)</f>
        <v>0xB0</v>
      </c>
    </row>
    <row r="31">
      <c r="A31" s="51" t="str">
        <f>IFERROR(__xludf.DUMMYFUNCTION("LEFT(REGEXREPLACE($H31, ""(?i)^8301(E000|E100|E200|E300)?"", """"), 4)"),"E913")</f>
        <v>E913</v>
      </c>
      <c r="B31" s="52" t="str">
        <f>IFERROR(__xludf.DUMMYFUNCTION("REGEXREPLACE($H31, ""(?i)^8301(E000|E100|E200|E300)?"", """")"),"E91300520F5D4458F44882D0650AD14602C8307B00")</f>
        <v>E91300520F5D4458F44882D0650AD14602C8307B00</v>
      </c>
      <c r="C31" s="65" t="s">
        <v>14</v>
      </c>
      <c r="D31" s="65" t="s">
        <v>342</v>
      </c>
      <c r="E31" s="65" t="s">
        <v>106</v>
      </c>
      <c r="F31" s="65" t="s">
        <v>107</v>
      </c>
      <c r="G31" s="67">
        <v>46220.0</v>
      </c>
      <c r="H31" s="68" t="s">
        <v>346</v>
      </c>
      <c r="I31" s="65"/>
      <c r="J31" s="57" t="str">
        <f t="shared" si="2"/>
        <v>0x13</v>
      </c>
      <c r="K31" s="58" t="str">
        <f t="shared" si="3"/>
        <v>0x00</v>
      </c>
      <c r="L31" s="58" t="str">
        <f t="shared" si="4"/>
        <v>0x52</v>
      </c>
      <c r="M31" s="82">
        <v>2.0</v>
      </c>
      <c r="N31" s="83" t="str">
        <f t="shared" si="45"/>
        <v>0x0F</v>
      </c>
      <c r="O31" s="84" t="str">
        <f t="shared" si="46"/>
        <v>0x5D</v>
      </c>
      <c r="P31" s="84" t="str">
        <f t="shared" si="47"/>
        <v>0x44</v>
      </c>
      <c r="Q31" s="85"/>
      <c r="R31" s="86"/>
      <c r="S31" s="85"/>
      <c r="T31" s="85"/>
      <c r="U31" s="85"/>
      <c r="V31" s="87">
        <v>15.0</v>
      </c>
      <c r="W31" s="58" t="str">
        <f t="shared" ref="W31:AJ31" si="48">"0x" &amp; MID($B31,$V31  + 2*(COLUMN() - COLUMN($W31)), 2)</f>
        <v>0x58</v>
      </c>
      <c r="X31" s="58" t="str">
        <f t="shared" si="48"/>
        <v>0xF4</v>
      </c>
      <c r="Y31" s="58" t="str">
        <f t="shared" si="48"/>
        <v>0x48</v>
      </c>
      <c r="Z31" s="58" t="str">
        <f t="shared" si="48"/>
        <v>0x82</v>
      </c>
      <c r="AA31" s="58" t="str">
        <f t="shared" si="48"/>
        <v>0xD0</v>
      </c>
      <c r="AB31" s="58" t="str">
        <f t="shared" si="48"/>
        <v>0x65</v>
      </c>
      <c r="AC31" s="58" t="str">
        <f t="shared" si="48"/>
        <v>0x0A</v>
      </c>
      <c r="AD31" s="58" t="str">
        <f t="shared" si="48"/>
        <v>0xD1</v>
      </c>
      <c r="AE31" s="58" t="str">
        <f t="shared" si="48"/>
        <v>0x46</v>
      </c>
      <c r="AF31" s="58" t="str">
        <f t="shared" si="48"/>
        <v>0x02</v>
      </c>
      <c r="AG31" s="58" t="str">
        <f t="shared" si="48"/>
        <v>0xC8</v>
      </c>
      <c r="AH31" s="58" t="str">
        <f t="shared" si="48"/>
        <v>0x30</v>
      </c>
      <c r="AI31" s="58" t="str">
        <f t="shared" si="48"/>
        <v>0x7B</v>
      </c>
      <c r="AJ31" s="58" t="str">
        <f t="shared" si="48"/>
        <v>0x00</v>
      </c>
      <c r="AK31" s="58"/>
      <c r="AL31" s="58"/>
      <c r="AM31" s="58"/>
      <c r="AN31" s="88"/>
    </row>
    <row r="32">
      <c r="A32" s="33" t="str">
        <f>IFERROR(__xludf.DUMMYFUNCTION("LEFT(REGEXREPLACE($H32, ""(?i)^8301(E000|E100|E200|E300)?"", """"), 4)"),"E913")</f>
        <v>E913</v>
      </c>
      <c r="B32" s="34" t="str">
        <f>IFERROR(__xludf.DUMMYFUNCTION("REGEXREPLACE($H32, ""(?i)^8301(E000|E100|E200|E300)?"", """")"),"E91300080F5D5C58F44882D065FCD14602FA307B00")</f>
        <v>E91300080F5D5C58F44882D065FCD14602FA307B00</v>
      </c>
      <c r="C32" s="36" t="s">
        <v>14</v>
      </c>
      <c r="D32" s="36" t="s">
        <v>481</v>
      </c>
      <c r="E32" s="36" t="s">
        <v>106</v>
      </c>
      <c r="F32" s="36" t="s">
        <v>107</v>
      </c>
      <c r="G32" s="37">
        <v>46220.0</v>
      </c>
      <c r="H32" s="38" t="s">
        <v>326</v>
      </c>
      <c r="I32" s="36"/>
      <c r="J32" s="39" t="str">
        <f t="shared" si="2"/>
        <v>0x13</v>
      </c>
      <c r="K32" s="40" t="str">
        <f t="shared" si="3"/>
        <v>0x00</v>
      </c>
      <c r="L32" s="40" t="str">
        <f t="shared" si="4"/>
        <v>0x08</v>
      </c>
      <c r="M32" s="77">
        <v>2.0</v>
      </c>
      <c r="N32" s="78" t="str">
        <f t="shared" si="45"/>
        <v>0x0F</v>
      </c>
      <c r="O32" s="72" t="str">
        <f t="shared" si="46"/>
        <v>0x5D</v>
      </c>
      <c r="P32" s="72" t="str">
        <f t="shared" si="47"/>
        <v>0x5C</v>
      </c>
      <c r="Q32" s="79"/>
      <c r="R32" s="80"/>
      <c r="S32" s="79"/>
      <c r="T32" s="79"/>
      <c r="U32" s="79"/>
      <c r="V32" s="81">
        <v>15.0</v>
      </c>
      <c r="W32" s="40" t="str">
        <f t="shared" ref="W32:AJ32" si="49">"0x" &amp; MID($B32,$V32  + 2*(COLUMN() - COLUMN($W32)), 2)</f>
        <v>0x58</v>
      </c>
      <c r="X32" s="40" t="str">
        <f t="shared" si="49"/>
        <v>0xF4</v>
      </c>
      <c r="Y32" s="40" t="str">
        <f t="shared" si="49"/>
        <v>0x48</v>
      </c>
      <c r="Z32" s="40" t="str">
        <f t="shared" si="49"/>
        <v>0x82</v>
      </c>
      <c r="AA32" s="40" t="str">
        <f t="shared" si="49"/>
        <v>0xD0</v>
      </c>
      <c r="AB32" s="40" t="str">
        <f t="shared" si="49"/>
        <v>0x65</v>
      </c>
      <c r="AC32" s="40" t="str">
        <f t="shared" si="49"/>
        <v>0xFC</v>
      </c>
      <c r="AD32" s="40" t="str">
        <f t="shared" si="49"/>
        <v>0xD1</v>
      </c>
      <c r="AE32" s="40" t="str">
        <f t="shared" si="49"/>
        <v>0x46</v>
      </c>
      <c r="AF32" s="40" t="str">
        <f t="shared" si="49"/>
        <v>0x02</v>
      </c>
      <c r="AG32" s="40" t="str">
        <f t="shared" si="49"/>
        <v>0xFA</v>
      </c>
      <c r="AH32" s="40" t="str">
        <f t="shared" si="49"/>
        <v>0x30</v>
      </c>
      <c r="AI32" s="40" t="str">
        <f t="shared" si="49"/>
        <v>0x7B</v>
      </c>
      <c r="AJ32" s="40" t="str">
        <f t="shared" si="49"/>
        <v>0x00</v>
      </c>
      <c r="AK32" s="40"/>
      <c r="AL32" s="40"/>
      <c r="AM32" s="40"/>
      <c r="AN32" s="75"/>
    </row>
    <row r="33">
      <c r="A33" s="51" t="str">
        <f>IFERROR(__xludf.DUMMYFUNCTION("LEFT(REGEXREPLACE($H33, ""(?i)^8301(E000|E100|E200|E300)?"", """"), 4)"),"E911")</f>
        <v>E911</v>
      </c>
      <c r="B33" s="52" t="str">
        <f>IFERROR(__xludf.DUMMYFUNCTION("REGEXREPLACE($H33, ""(?i)^8301(E000|E100|E200|E300)?"", """")"),"E911006F0F404B58F44882D146020CD06519B0")</f>
        <v>E911006F0F404B58F44882D146020CD06519B0</v>
      </c>
      <c r="C33" s="65" t="s">
        <v>14</v>
      </c>
      <c r="D33" s="65" t="s">
        <v>283</v>
      </c>
      <c r="E33" s="65" t="s">
        <v>75</v>
      </c>
      <c r="F33" s="65" t="s">
        <v>76</v>
      </c>
      <c r="G33" s="67">
        <v>46208.0</v>
      </c>
      <c r="H33" s="68" t="s">
        <v>286</v>
      </c>
      <c r="I33" s="65"/>
      <c r="J33" s="57" t="str">
        <f t="shared" si="2"/>
        <v>0x11</v>
      </c>
      <c r="K33" s="58" t="str">
        <f t="shared" si="3"/>
        <v>0x00</v>
      </c>
      <c r="L33" s="58" t="str">
        <f t="shared" si="4"/>
        <v>0x6F</v>
      </c>
      <c r="M33" s="82">
        <v>2.0</v>
      </c>
      <c r="N33" s="83" t="str">
        <f t="shared" si="45"/>
        <v>0x0F</v>
      </c>
      <c r="O33" s="84" t="str">
        <f t="shared" si="46"/>
        <v>0x40</v>
      </c>
      <c r="P33" s="84" t="str">
        <f t="shared" si="47"/>
        <v>0x4B</v>
      </c>
      <c r="Q33" s="85"/>
      <c r="R33" s="86"/>
      <c r="S33" s="85"/>
      <c r="T33" s="85"/>
      <c r="U33" s="85"/>
      <c r="V33" s="87">
        <v>15.0</v>
      </c>
      <c r="W33" s="58" t="str">
        <f t="shared" ref="W33:AG33" si="50">"0x" &amp; MID($B33,$V33  + 2*(COLUMN() - COLUMN($W33)), 2)</f>
        <v>0x58</v>
      </c>
      <c r="X33" s="58" t="str">
        <f t="shared" si="50"/>
        <v>0xF4</v>
      </c>
      <c r="Y33" s="58" t="str">
        <f t="shared" si="50"/>
        <v>0x48</v>
      </c>
      <c r="Z33" s="58" t="str">
        <f t="shared" si="50"/>
        <v>0x82</v>
      </c>
      <c r="AA33" s="58" t="str">
        <f t="shared" si="50"/>
        <v>0xD1</v>
      </c>
      <c r="AB33" s="58" t="str">
        <f t="shared" si="50"/>
        <v>0x46</v>
      </c>
      <c r="AC33" s="58" t="str">
        <f t="shared" si="50"/>
        <v>0x02</v>
      </c>
      <c r="AD33" s="58" t="str">
        <f t="shared" si="50"/>
        <v>0x0C</v>
      </c>
      <c r="AE33" s="58" t="str">
        <f t="shared" si="50"/>
        <v>0xD0</v>
      </c>
      <c r="AF33" s="58" t="str">
        <f t="shared" si="50"/>
        <v>0x65</v>
      </c>
      <c r="AG33" s="58" t="str">
        <f t="shared" si="50"/>
        <v>0x19</v>
      </c>
      <c r="AH33" s="58"/>
      <c r="AI33" s="58"/>
      <c r="AJ33" s="58"/>
      <c r="AK33" s="58"/>
      <c r="AL33" s="58"/>
      <c r="AM33" s="58"/>
      <c r="AN33" s="74" t="str">
        <f>"0x"&amp;MID($B33,37,2)</f>
        <v>0xB0</v>
      </c>
    </row>
    <row r="34">
      <c r="A34" s="33" t="str">
        <f>IFERROR(__xludf.DUMMYFUNCTION("LEFT(REGEXREPLACE($H34, ""(?i)^8301(E000|E100|E200|E300)?"", """"), 4)"),"E910")</f>
        <v>E910</v>
      </c>
      <c r="B34" s="34" t="str">
        <f>IFERROR(__xludf.DUMMYFUNCTION("REGEXREPLACE($H34, ""(?i)^8301(E000|E100|E200|E300)?"", """")"),"E91000610F475658F44882D1460908D06519")</f>
        <v>E91000610F475658F44882D1460908D06519</v>
      </c>
      <c r="C34" s="36" t="s">
        <v>14</v>
      </c>
      <c r="D34" s="36" t="s">
        <v>249</v>
      </c>
      <c r="E34" s="36" t="s">
        <v>106</v>
      </c>
      <c r="F34" s="36" t="s">
        <v>107</v>
      </c>
      <c r="G34" s="37">
        <v>46220.0</v>
      </c>
      <c r="H34" s="38" t="s">
        <v>252</v>
      </c>
      <c r="I34" s="36"/>
      <c r="J34" s="39" t="str">
        <f t="shared" si="2"/>
        <v>0x10</v>
      </c>
      <c r="K34" s="40" t="str">
        <f t="shared" si="3"/>
        <v>0x00</v>
      </c>
      <c r="L34" s="40" t="str">
        <f t="shared" si="4"/>
        <v>0x61</v>
      </c>
      <c r="M34" s="42">
        <v>2.0</v>
      </c>
      <c r="N34" s="42" t="str">
        <f t="shared" si="45"/>
        <v>0x0F</v>
      </c>
      <c r="O34" s="48" t="str">
        <f t="shared" si="46"/>
        <v>0x47</v>
      </c>
      <c r="P34" s="48" t="str">
        <f t="shared" si="47"/>
        <v>0x56</v>
      </c>
      <c r="Q34" s="48"/>
      <c r="R34" s="42"/>
      <c r="S34" s="48"/>
      <c r="T34" s="48"/>
      <c r="U34" s="48"/>
      <c r="V34" s="40">
        <v>15.0</v>
      </c>
      <c r="W34" s="40" t="str">
        <f t="shared" ref="W34:AG34" si="51">"0x" &amp; MID($B34,$V34  + 2*(COLUMN() - COLUMN($W34)), 2)</f>
        <v>0x58</v>
      </c>
      <c r="X34" s="40" t="str">
        <f t="shared" si="51"/>
        <v>0xF4</v>
      </c>
      <c r="Y34" s="40" t="str">
        <f t="shared" si="51"/>
        <v>0x48</v>
      </c>
      <c r="Z34" s="40" t="str">
        <f t="shared" si="51"/>
        <v>0x82</v>
      </c>
      <c r="AA34" s="40" t="str">
        <f t="shared" si="51"/>
        <v>0xD1</v>
      </c>
      <c r="AB34" s="40" t="str">
        <f t="shared" si="51"/>
        <v>0x46</v>
      </c>
      <c r="AC34" s="40" t="str">
        <f t="shared" si="51"/>
        <v>0x09</v>
      </c>
      <c r="AD34" s="40" t="str">
        <f t="shared" si="51"/>
        <v>0x08</v>
      </c>
      <c r="AE34" s="40" t="str">
        <f t="shared" si="51"/>
        <v>0xD0</v>
      </c>
      <c r="AF34" s="40" t="str">
        <f t="shared" si="51"/>
        <v>0x65</v>
      </c>
      <c r="AG34" s="40" t="str">
        <f t="shared" si="51"/>
        <v>0x19</v>
      </c>
      <c r="AH34" s="40"/>
      <c r="AI34" s="40"/>
      <c r="AJ34" s="40"/>
      <c r="AK34" s="40"/>
      <c r="AL34" s="40"/>
      <c r="AM34" s="40"/>
      <c r="AN34" s="64"/>
    </row>
    <row r="35">
      <c r="A35" s="51" t="str">
        <f>IFERROR(__xludf.DUMMYFUNCTION("LEFT(REGEXREPLACE($H35, ""(?i)^8301(E000|E100|E200|E300)?"", """"), 4)"),"E911")</f>
        <v>E911</v>
      </c>
      <c r="B35" s="52" t="str">
        <f>IFERROR(__xludf.DUMMYFUNCTION("REGEXREPLACE($H35, ""(?i)^8301(E000|E100|E200|E300)?"", """")"),"E911002F0F444F58F44882D146090DD06519B0")</f>
        <v>E911002F0F444F58F44882D146090DD06519B0</v>
      </c>
      <c r="C35" s="65" t="s">
        <v>63</v>
      </c>
      <c r="D35" s="65" t="s">
        <v>483</v>
      </c>
      <c r="E35" s="65" t="s">
        <v>75</v>
      </c>
      <c r="F35" s="65" t="s">
        <v>76</v>
      </c>
      <c r="G35" s="67">
        <v>46208.0</v>
      </c>
      <c r="H35" s="68" t="s">
        <v>266</v>
      </c>
      <c r="I35" s="65"/>
      <c r="J35" s="57" t="str">
        <f t="shared" si="2"/>
        <v>0x11</v>
      </c>
      <c r="K35" s="58" t="str">
        <f t="shared" si="3"/>
        <v>0x00</v>
      </c>
      <c r="L35" s="58" t="str">
        <f t="shared" si="4"/>
        <v>0x2F</v>
      </c>
      <c r="M35" s="82">
        <v>2.0</v>
      </c>
      <c r="N35" s="83" t="str">
        <f t="shared" si="45"/>
        <v>0x0F</v>
      </c>
      <c r="O35" s="84" t="str">
        <f t="shared" si="46"/>
        <v>0x44</v>
      </c>
      <c r="P35" s="84" t="str">
        <f t="shared" si="47"/>
        <v>0x4F</v>
      </c>
      <c r="Q35" s="85"/>
      <c r="R35" s="86"/>
      <c r="S35" s="85"/>
      <c r="T35" s="85"/>
      <c r="U35" s="85"/>
      <c r="V35" s="87">
        <v>15.0</v>
      </c>
      <c r="W35" s="58" t="str">
        <f t="shared" ref="W35:AG35" si="52">"0x" &amp; MID($B35,$V35  + 2*(COLUMN() - COLUMN($W35)), 2)</f>
        <v>0x58</v>
      </c>
      <c r="X35" s="58" t="str">
        <f t="shared" si="52"/>
        <v>0xF4</v>
      </c>
      <c r="Y35" s="58" t="str">
        <f t="shared" si="52"/>
        <v>0x48</v>
      </c>
      <c r="Z35" s="58" t="str">
        <f t="shared" si="52"/>
        <v>0x82</v>
      </c>
      <c r="AA35" s="58" t="str">
        <f t="shared" si="52"/>
        <v>0xD1</v>
      </c>
      <c r="AB35" s="58" t="str">
        <f t="shared" si="52"/>
        <v>0x46</v>
      </c>
      <c r="AC35" s="58" t="str">
        <f t="shared" si="52"/>
        <v>0x09</v>
      </c>
      <c r="AD35" s="58" t="str">
        <f t="shared" si="52"/>
        <v>0x0D</v>
      </c>
      <c r="AE35" s="58" t="str">
        <f t="shared" si="52"/>
        <v>0xD0</v>
      </c>
      <c r="AF35" s="58" t="str">
        <f t="shared" si="52"/>
        <v>0x65</v>
      </c>
      <c r="AG35" s="58" t="str">
        <f t="shared" si="52"/>
        <v>0x19</v>
      </c>
      <c r="AH35" s="58"/>
      <c r="AI35" s="58"/>
      <c r="AJ35" s="58"/>
      <c r="AK35" s="58"/>
      <c r="AL35" s="58"/>
      <c r="AM35" s="58"/>
      <c r="AN35" s="74" t="str">
        <f t="shared" ref="AN35:AN41" si="54">"0x"&amp;MID($B35,37,2)</f>
        <v>0xB0</v>
      </c>
    </row>
    <row r="36">
      <c r="A36" s="33" t="str">
        <f>IFERROR(__xludf.DUMMYFUNCTION("LEFT(REGEXREPLACE($H36, ""(?i)^8301(E000|E100|E200|E300)?"", """"), 4)"),"E911")</f>
        <v>E911</v>
      </c>
      <c r="B36" s="34" t="str">
        <f>IFERROR(__xludf.DUMMYFUNCTION("REGEXREPLACE($H36, ""(?i)^8301(E000|E100|E200|E300)?"", """")"),"E91100630F424058F44882D1460205D06500B0")</f>
        <v>E91100630F424058F44882D1460205D06500B0</v>
      </c>
      <c r="C36" s="36" t="s">
        <v>477</v>
      </c>
      <c r="D36" s="36" t="s">
        <v>478</v>
      </c>
      <c r="E36" s="36" t="s">
        <v>106</v>
      </c>
      <c r="F36" s="36" t="s">
        <v>175</v>
      </c>
      <c r="G36" s="37">
        <v>46220.0</v>
      </c>
      <c r="H36" s="38" t="s">
        <v>381</v>
      </c>
      <c r="I36" s="36"/>
      <c r="J36" s="39" t="str">
        <f t="shared" si="2"/>
        <v>0x11</v>
      </c>
      <c r="K36" s="40" t="str">
        <f t="shared" si="3"/>
        <v>0x00</v>
      </c>
      <c r="L36" s="40" t="str">
        <f t="shared" si="4"/>
        <v>0x63</v>
      </c>
      <c r="M36" s="77">
        <v>2.0</v>
      </c>
      <c r="N36" s="78" t="str">
        <f t="shared" si="45"/>
        <v>0x0F</v>
      </c>
      <c r="O36" s="72" t="str">
        <f t="shared" si="46"/>
        <v>0x42</v>
      </c>
      <c r="P36" s="72" t="str">
        <f t="shared" si="47"/>
        <v>0x40</v>
      </c>
      <c r="Q36" s="79"/>
      <c r="R36" s="80"/>
      <c r="S36" s="79"/>
      <c r="T36" s="79"/>
      <c r="U36" s="79"/>
      <c r="V36" s="81">
        <v>15.0</v>
      </c>
      <c r="W36" s="40" t="str">
        <f t="shared" ref="W36:AG36" si="53">"0x" &amp; MID($B36,$V36  + 2*(COLUMN() - COLUMN($W36)), 2)</f>
        <v>0x58</v>
      </c>
      <c r="X36" s="40" t="str">
        <f t="shared" si="53"/>
        <v>0xF4</v>
      </c>
      <c r="Y36" s="40" t="str">
        <f t="shared" si="53"/>
        <v>0x48</v>
      </c>
      <c r="Z36" s="40" t="str">
        <f t="shared" si="53"/>
        <v>0x82</v>
      </c>
      <c r="AA36" s="40" t="str">
        <f t="shared" si="53"/>
        <v>0xD1</v>
      </c>
      <c r="AB36" s="40" t="str">
        <f t="shared" si="53"/>
        <v>0x46</v>
      </c>
      <c r="AC36" s="40" t="str">
        <f t="shared" si="53"/>
        <v>0x02</v>
      </c>
      <c r="AD36" s="40" t="str">
        <f t="shared" si="53"/>
        <v>0x05</v>
      </c>
      <c r="AE36" s="40" t="str">
        <f t="shared" si="53"/>
        <v>0xD0</v>
      </c>
      <c r="AF36" s="40" t="str">
        <f t="shared" si="53"/>
        <v>0x65</v>
      </c>
      <c r="AG36" s="40" t="str">
        <f t="shared" si="53"/>
        <v>0x00</v>
      </c>
      <c r="AH36" s="40"/>
      <c r="AI36" s="40"/>
      <c r="AJ36" s="40"/>
      <c r="AK36" s="40"/>
      <c r="AL36" s="40"/>
      <c r="AM36" s="40"/>
      <c r="AN36" s="64" t="str">
        <f t="shared" si="54"/>
        <v>0xB0</v>
      </c>
    </row>
    <row r="37">
      <c r="A37" s="51" t="str">
        <f>IFERROR(__xludf.DUMMYFUNCTION("LEFT(REGEXREPLACE($H37, ""(?i)^8301(E000|E100|E200|E300)?"", """"), 4)"),"E911")</f>
        <v>E911</v>
      </c>
      <c r="B37" s="52" t="str">
        <f>IFERROR(__xludf.DUMMYFUNCTION("REGEXREPLACE($H37, ""(?i)^8301(E000|E100|E200|E300)?"", """")"),"E911006F0F564858F44882D1460208D06500B0")</f>
        <v>E911006F0F564858F44882D1460208D06500B0</v>
      </c>
      <c r="C37" s="65" t="s">
        <v>477</v>
      </c>
      <c r="D37" s="65" t="s">
        <v>478</v>
      </c>
      <c r="E37" s="65" t="s">
        <v>75</v>
      </c>
      <c r="F37" s="65" t="s">
        <v>120</v>
      </c>
      <c r="G37" s="67">
        <v>46219.0</v>
      </c>
      <c r="H37" s="68" t="s">
        <v>385</v>
      </c>
      <c r="I37" s="65"/>
      <c r="J37" s="57" t="str">
        <f t="shared" si="2"/>
        <v>0x11</v>
      </c>
      <c r="K37" s="58" t="str">
        <f t="shared" si="3"/>
        <v>0x00</v>
      </c>
      <c r="L37" s="58" t="str">
        <f t="shared" si="4"/>
        <v>0x6F</v>
      </c>
      <c r="M37" s="82">
        <v>2.0</v>
      </c>
      <c r="N37" s="83" t="str">
        <f t="shared" si="45"/>
        <v>0x0F</v>
      </c>
      <c r="O37" s="84" t="str">
        <f t="shared" si="46"/>
        <v>0x56</v>
      </c>
      <c r="P37" s="84" t="str">
        <f t="shared" si="47"/>
        <v>0x48</v>
      </c>
      <c r="Q37" s="85"/>
      <c r="R37" s="86"/>
      <c r="S37" s="85"/>
      <c r="T37" s="85"/>
      <c r="U37" s="85"/>
      <c r="V37" s="87">
        <v>15.0</v>
      </c>
      <c r="W37" s="58" t="str">
        <f t="shared" ref="W37:AG37" si="55">"0x" &amp; MID($B37,$V37  + 2*(COLUMN() - COLUMN($W37)), 2)</f>
        <v>0x58</v>
      </c>
      <c r="X37" s="58" t="str">
        <f t="shared" si="55"/>
        <v>0xF4</v>
      </c>
      <c r="Y37" s="58" t="str">
        <f t="shared" si="55"/>
        <v>0x48</v>
      </c>
      <c r="Z37" s="58" t="str">
        <f t="shared" si="55"/>
        <v>0x82</v>
      </c>
      <c r="AA37" s="58" t="str">
        <f t="shared" si="55"/>
        <v>0xD1</v>
      </c>
      <c r="AB37" s="58" t="str">
        <f t="shared" si="55"/>
        <v>0x46</v>
      </c>
      <c r="AC37" s="58" t="str">
        <f t="shared" si="55"/>
        <v>0x02</v>
      </c>
      <c r="AD37" s="58" t="str">
        <f t="shared" si="55"/>
        <v>0x08</v>
      </c>
      <c r="AE37" s="58" t="str">
        <f t="shared" si="55"/>
        <v>0xD0</v>
      </c>
      <c r="AF37" s="58" t="str">
        <f t="shared" si="55"/>
        <v>0x65</v>
      </c>
      <c r="AG37" s="58" t="str">
        <f t="shared" si="55"/>
        <v>0x00</v>
      </c>
      <c r="AH37" s="58"/>
      <c r="AI37" s="58"/>
      <c r="AJ37" s="58"/>
      <c r="AK37" s="58"/>
      <c r="AL37" s="58"/>
      <c r="AM37" s="58"/>
      <c r="AN37" s="74" t="str">
        <f t="shared" si="54"/>
        <v>0xB0</v>
      </c>
    </row>
    <row r="38">
      <c r="A38" s="33" t="str">
        <f>IFERROR(__xludf.DUMMYFUNCTION("LEFT(REGEXREPLACE($H38, ""(?i)^8301(E000|E100|E200|E300)?"", """"), 4)"),"E911")</f>
        <v>E911</v>
      </c>
      <c r="B38" s="34" t="str">
        <f>IFERROR(__xludf.DUMMYFUNCTION("REGEXREPLACE($H38, ""(?i)^8301(E000|E100|E200|E300)?"", """")"),"E911000F0F485958F44882D146020DD06505B0")</f>
        <v>E911000F0F485958F44882D146020DD06505B0</v>
      </c>
      <c r="C38" s="36" t="s">
        <v>477</v>
      </c>
      <c r="D38" s="36" t="s">
        <v>478</v>
      </c>
      <c r="E38" s="36" t="s">
        <v>75</v>
      </c>
      <c r="F38" s="36" t="s">
        <v>120</v>
      </c>
      <c r="G38" s="37">
        <v>46219.0</v>
      </c>
      <c r="H38" s="38" t="s">
        <v>362</v>
      </c>
      <c r="I38" s="36"/>
      <c r="J38" s="39" t="str">
        <f t="shared" si="2"/>
        <v>0x11</v>
      </c>
      <c r="K38" s="40" t="str">
        <f t="shared" si="3"/>
        <v>0x00</v>
      </c>
      <c r="L38" s="40" t="str">
        <f t="shared" si="4"/>
        <v>0x0F</v>
      </c>
      <c r="M38" s="77">
        <v>2.0</v>
      </c>
      <c r="N38" s="78" t="str">
        <f t="shared" si="45"/>
        <v>0x0F</v>
      </c>
      <c r="O38" s="72" t="str">
        <f t="shared" si="46"/>
        <v>0x48</v>
      </c>
      <c r="P38" s="72" t="str">
        <f t="shared" si="47"/>
        <v>0x59</v>
      </c>
      <c r="Q38" s="79"/>
      <c r="R38" s="80"/>
      <c r="S38" s="79"/>
      <c r="T38" s="79"/>
      <c r="U38" s="79"/>
      <c r="V38" s="81">
        <v>15.0</v>
      </c>
      <c r="W38" s="40" t="str">
        <f t="shared" ref="W38:AG38" si="56">"0x" &amp; MID($B38,$V38  + 2*(COLUMN() - COLUMN($W38)), 2)</f>
        <v>0x58</v>
      </c>
      <c r="X38" s="40" t="str">
        <f t="shared" si="56"/>
        <v>0xF4</v>
      </c>
      <c r="Y38" s="40" t="str">
        <f t="shared" si="56"/>
        <v>0x48</v>
      </c>
      <c r="Z38" s="40" t="str">
        <f t="shared" si="56"/>
        <v>0x82</v>
      </c>
      <c r="AA38" s="40" t="str">
        <f t="shared" si="56"/>
        <v>0xD1</v>
      </c>
      <c r="AB38" s="40" t="str">
        <f t="shared" si="56"/>
        <v>0x46</v>
      </c>
      <c r="AC38" s="40" t="str">
        <f t="shared" si="56"/>
        <v>0x02</v>
      </c>
      <c r="AD38" s="40" t="str">
        <f t="shared" si="56"/>
        <v>0x0D</v>
      </c>
      <c r="AE38" s="40" t="str">
        <f t="shared" si="56"/>
        <v>0xD0</v>
      </c>
      <c r="AF38" s="40" t="str">
        <f t="shared" si="56"/>
        <v>0x65</v>
      </c>
      <c r="AG38" s="40" t="str">
        <f t="shared" si="56"/>
        <v>0x05</v>
      </c>
      <c r="AH38" s="40"/>
      <c r="AI38" s="40"/>
      <c r="AJ38" s="40"/>
      <c r="AK38" s="40"/>
      <c r="AL38" s="40"/>
      <c r="AM38" s="40"/>
      <c r="AN38" s="64" t="str">
        <f t="shared" si="54"/>
        <v>0xB0</v>
      </c>
    </row>
    <row r="39">
      <c r="A39" s="51" t="str">
        <f>IFERROR(__xludf.DUMMYFUNCTION("LEFT(REGEXREPLACE($H39, ""(?i)^8301(E000|E100|E200|E300)?"", """"), 4)"),"E911")</f>
        <v>E911</v>
      </c>
      <c r="B39" s="52" t="str">
        <f>IFERROR(__xludf.DUMMYFUNCTION("REGEXREPLACE($H39, ""(?i)^8301(E000|E100|E200|E300)?"", """")"),"E91100540F434758F44882D146050FD06500BA")</f>
        <v>E91100540F434758F44882D146050FD06500BA</v>
      </c>
      <c r="C39" s="65" t="s">
        <v>477</v>
      </c>
      <c r="D39" s="65" t="s">
        <v>478</v>
      </c>
      <c r="E39" s="65" t="s">
        <v>129</v>
      </c>
      <c r="F39" s="89" t="s">
        <v>137</v>
      </c>
      <c r="G39" s="67">
        <v>46240.0</v>
      </c>
      <c r="H39" s="56" t="s">
        <v>376</v>
      </c>
      <c r="I39" s="65"/>
      <c r="J39" s="57" t="str">
        <f t="shared" si="2"/>
        <v>0x11</v>
      </c>
      <c r="K39" s="58" t="str">
        <f t="shared" si="3"/>
        <v>0x00</v>
      </c>
      <c r="L39" s="58" t="str">
        <f t="shared" si="4"/>
        <v>0x54</v>
      </c>
      <c r="M39" s="82">
        <v>2.0</v>
      </c>
      <c r="N39" s="83" t="str">
        <f t="shared" si="45"/>
        <v>0x0F</v>
      </c>
      <c r="O39" s="84" t="str">
        <f t="shared" si="46"/>
        <v>0x43</v>
      </c>
      <c r="P39" s="84" t="str">
        <f t="shared" si="47"/>
        <v>0x47</v>
      </c>
      <c r="Q39" s="85"/>
      <c r="R39" s="86"/>
      <c r="S39" s="85"/>
      <c r="T39" s="85"/>
      <c r="U39" s="85"/>
      <c r="V39" s="87">
        <v>15.0</v>
      </c>
      <c r="W39" s="58" t="str">
        <f t="shared" ref="W39:AG39" si="57">"0x" &amp; MID($B39,$V39  + 2*(COLUMN() - COLUMN($W39)), 2)</f>
        <v>0x58</v>
      </c>
      <c r="X39" s="58" t="str">
        <f t="shared" si="57"/>
        <v>0xF4</v>
      </c>
      <c r="Y39" s="58" t="str">
        <f t="shared" si="57"/>
        <v>0x48</v>
      </c>
      <c r="Z39" s="58" t="str">
        <f t="shared" si="57"/>
        <v>0x82</v>
      </c>
      <c r="AA39" s="58" t="str">
        <f t="shared" si="57"/>
        <v>0xD1</v>
      </c>
      <c r="AB39" s="58" t="str">
        <f t="shared" si="57"/>
        <v>0x46</v>
      </c>
      <c r="AC39" s="58" t="str">
        <f t="shared" si="57"/>
        <v>0x05</v>
      </c>
      <c r="AD39" s="58" t="str">
        <f t="shared" si="57"/>
        <v>0x0F</v>
      </c>
      <c r="AE39" s="58" t="str">
        <f t="shared" si="57"/>
        <v>0xD0</v>
      </c>
      <c r="AF39" s="58" t="str">
        <f t="shared" si="57"/>
        <v>0x65</v>
      </c>
      <c r="AG39" s="58" t="str">
        <f t="shared" si="57"/>
        <v>0x00</v>
      </c>
      <c r="AH39" s="58"/>
      <c r="AI39" s="58"/>
      <c r="AJ39" s="58"/>
      <c r="AK39" s="58"/>
      <c r="AL39" s="58"/>
      <c r="AM39" s="58"/>
      <c r="AN39" s="74" t="str">
        <f t="shared" si="54"/>
        <v>0xBA</v>
      </c>
    </row>
    <row r="40">
      <c r="A40" s="33" t="str">
        <f>IFERROR(__xludf.DUMMYFUNCTION("LEFT(REGEXREPLACE($H40, ""(?i)^8301(E000|E100|E200|E300)?"", """"), 4)"),"E911")</f>
        <v>E911</v>
      </c>
      <c r="B40" s="34" t="str">
        <f>IFERROR(__xludf.DUMMYFUNCTION("REGEXREPLACE($H40, ""(?i)^8301(E000|E100|E200|E300)?"", """")"),"E91100870F565958F44882D1460513D06500B0")</f>
        <v>E91100870F565958F44882D1460513D06500B0</v>
      </c>
      <c r="C40" s="36" t="s">
        <v>477</v>
      </c>
      <c r="D40" s="36" t="s">
        <v>478</v>
      </c>
      <c r="E40" s="36" t="s">
        <v>106</v>
      </c>
      <c r="F40" s="36" t="s">
        <v>175</v>
      </c>
      <c r="G40" s="37">
        <v>46220.0</v>
      </c>
      <c r="H40" s="38" t="s">
        <v>386</v>
      </c>
      <c r="I40" s="36"/>
      <c r="J40" s="39" t="str">
        <f t="shared" si="2"/>
        <v>0x11</v>
      </c>
      <c r="K40" s="40" t="str">
        <f t="shared" si="3"/>
        <v>0x00</v>
      </c>
      <c r="L40" s="40" t="str">
        <f t="shared" si="4"/>
        <v>0x87</v>
      </c>
      <c r="M40" s="77">
        <v>2.0</v>
      </c>
      <c r="N40" s="78" t="str">
        <f t="shared" si="45"/>
        <v>0x0F</v>
      </c>
      <c r="O40" s="72" t="str">
        <f t="shared" si="46"/>
        <v>0x56</v>
      </c>
      <c r="P40" s="72" t="str">
        <f t="shared" si="47"/>
        <v>0x59</v>
      </c>
      <c r="Q40" s="79"/>
      <c r="R40" s="80"/>
      <c r="S40" s="79"/>
      <c r="T40" s="79"/>
      <c r="U40" s="79"/>
      <c r="V40" s="81">
        <v>15.0</v>
      </c>
      <c r="W40" s="40" t="str">
        <f t="shared" ref="W40:AG40" si="58">"0x" &amp; MID($B40,$V40  + 2*(COLUMN() - COLUMN($W40)), 2)</f>
        <v>0x58</v>
      </c>
      <c r="X40" s="40" t="str">
        <f t="shared" si="58"/>
        <v>0xF4</v>
      </c>
      <c r="Y40" s="40" t="str">
        <f t="shared" si="58"/>
        <v>0x48</v>
      </c>
      <c r="Z40" s="40" t="str">
        <f t="shared" si="58"/>
        <v>0x82</v>
      </c>
      <c r="AA40" s="40" t="str">
        <f t="shared" si="58"/>
        <v>0xD1</v>
      </c>
      <c r="AB40" s="40" t="str">
        <f t="shared" si="58"/>
        <v>0x46</v>
      </c>
      <c r="AC40" s="40" t="str">
        <f t="shared" si="58"/>
        <v>0x05</v>
      </c>
      <c r="AD40" s="40" t="str">
        <f t="shared" si="58"/>
        <v>0x13</v>
      </c>
      <c r="AE40" s="40" t="str">
        <f t="shared" si="58"/>
        <v>0xD0</v>
      </c>
      <c r="AF40" s="40" t="str">
        <f t="shared" si="58"/>
        <v>0x65</v>
      </c>
      <c r="AG40" s="40" t="str">
        <f t="shared" si="58"/>
        <v>0x00</v>
      </c>
      <c r="AH40" s="40"/>
      <c r="AI40" s="40"/>
      <c r="AJ40" s="40"/>
      <c r="AK40" s="40"/>
      <c r="AL40" s="40"/>
      <c r="AM40" s="40"/>
      <c r="AN40" s="64" t="str">
        <f t="shared" si="54"/>
        <v>0xB0</v>
      </c>
    </row>
    <row r="41">
      <c r="A41" s="51" t="str">
        <f>IFERROR(__xludf.DUMMYFUNCTION("LEFT(REGEXREPLACE($H41, ""(?i)^8301(E000|E100|E200|E300)?"", """"), 4)"),"E911")</f>
        <v>E911</v>
      </c>
      <c r="B41" s="52" t="str">
        <f>IFERROR(__xludf.DUMMYFUNCTION("REGEXREPLACE($H41, ""(?i)^8301(E000|E100|E200|E300)?"", """")"),"E911002A0F5D5358F44882D1460602D06543B0")</f>
        <v>E911002A0F5D5358F44882D1460602D06543B0</v>
      </c>
      <c r="C41" s="65" t="s">
        <v>477</v>
      </c>
      <c r="D41" s="65" t="s">
        <v>488</v>
      </c>
      <c r="E41" s="65" t="s">
        <v>75</v>
      </c>
      <c r="F41" s="65" t="s">
        <v>76</v>
      </c>
      <c r="G41" s="67">
        <v>46208.0</v>
      </c>
      <c r="H41" s="68" t="s">
        <v>369</v>
      </c>
      <c r="I41" s="65"/>
      <c r="J41" s="57" t="str">
        <f t="shared" si="2"/>
        <v>0x11</v>
      </c>
      <c r="K41" s="58" t="str">
        <f t="shared" si="3"/>
        <v>0x00</v>
      </c>
      <c r="L41" s="58" t="str">
        <f t="shared" si="4"/>
        <v>0x2A</v>
      </c>
      <c r="M41" s="82">
        <v>2.0</v>
      </c>
      <c r="N41" s="83" t="str">
        <f t="shared" si="45"/>
        <v>0x0F</v>
      </c>
      <c r="O41" s="84" t="str">
        <f t="shared" si="46"/>
        <v>0x5D</v>
      </c>
      <c r="P41" s="84" t="str">
        <f t="shared" si="47"/>
        <v>0x53</v>
      </c>
      <c r="Q41" s="85"/>
      <c r="R41" s="86"/>
      <c r="S41" s="85"/>
      <c r="T41" s="85"/>
      <c r="U41" s="85"/>
      <c r="V41" s="87">
        <v>15.0</v>
      </c>
      <c r="W41" s="58" t="str">
        <f t="shared" ref="W41:AG41" si="59">"0x" &amp; MID($B41,$V41  + 2*(COLUMN() - COLUMN($W41)), 2)</f>
        <v>0x58</v>
      </c>
      <c r="X41" s="58" t="str">
        <f t="shared" si="59"/>
        <v>0xF4</v>
      </c>
      <c r="Y41" s="58" t="str">
        <f t="shared" si="59"/>
        <v>0x48</v>
      </c>
      <c r="Z41" s="58" t="str">
        <f t="shared" si="59"/>
        <v>0x82</v>
      </c>
      <c r="AA41" s="58" t="str">
        <f t="shared" si="59"/>
        <v>0xD1</v>
      </c>
      <c r="AB41" s="58" t="str">
        <f t="shared" si="59"/>
        <v>0x46</v>
      </c>
      <c r="AC41" s="58" t="str">
        <f t="shared" si="59"/>
        <v>0x06</v>
      </c>
      <c r="AD41" s="58" t="str">
        <f t="shared" si="59"/>
        <v>0x02</v>
      </c>
      <c r="AE41" s="58" t="str">
        <f t="shared" si="59"/>
        <v>0xD0</v>
      </c>
      <c r="AF41" s="58" t="str">
        <f t="shared" si="59"/>
        <v>0x65</v>
      </c>
      <c r="AG41" s="58" t="str">
        <f t="shared" si="59"/>
        <v>0x43</v>
      </c>
      <c r="AH41" s="58"/>
      <c r="AI41" s="58"/>
      <c r="AJ41" s="58"/>
      <c r="AK41" s="58"/>
      <c r="AL41" s="58"/>
      <c r="AM41" s="58"/>
      <c r="AN41" s="74" t="str">
        <f t="shared" si="54"/>
        <v>0xB0</v>
      </c>
    </row>
    <row r="42">
      <c r="A42" s="33" t="str">
        <f>IFERROR(__xludf.DUMMYFUNCTION("LEFT(REGEXREPLACE($H42, ""(?i)^8301(E000|E100|E200|E300)?"", """"), 4)"),"E910")</f>
        <v>E910</v>
      </c>
      <c r="B42" s="34" t="str">
        <f>IFERROR(__xludf.DUMMYFUNCTION("REGEXREPLACE($H42, ""(?i)^8301(E000|E100|E200|E300)?"", """")"),"E910000F0F515558F44882D1460214D06505")</f>
        <v>E910000F0F515558F44882D1460214D06505</v>
      </c>
      <c r="C42" s="36" t="s">
        <v>484</v>
      </c>
      <c r="D42" s="36" t="s">
        <v>485</v>
      </c>
      <c r="E42" s="36" t="s">
        <v>106</v>
      </c>
      <c r="F42" s="36" t="s">
        <v>107</v>
      </c>
      <c r="G42" s="37">
        <v>46220.0</v>
      </c>
      <c r="H42" s="38" t="s">
        <v>334</v>
      </c>
      <c r="I42" s="36"/>
      <c r="J42" s="39" t="str">
        <f t="shared" si="2"/>
        <v>0x10</v>
      </c>
      <c r="K42" s="40" t="str">
        <f t="shared" si="3"/>
        <v>0x00</v>
      </c>
      <c r="L42" s="40" t="str">
        <f t="shared" si="4"/>
        <v>0x0F</v>
      </c>
      <c r="M42" s="42">
        <v>2.0</v>
      </c>
      <c r="N42" s="42" t="str">
        <f t="shared" si="45"/>
        <v>0x0F</v>
      </c>
      <c r="O42" s="48" t="str">
        <f t="shared" si="46"/>
        <v>0x51</v>
      </c>
      <c r="P42" s="48" t="str">
        <f t="shared" si="47"/>
        <v>0x55</v>
      </c>
      <c r="Q42" s="48"/>
      <c r="R42" s="42"/>
      <c r="S42" s="48"/>
      <c r="T42" s="48"/>
      <c r="U42" s="48"/>
      <c r="V42" s="40">
        <v>15.0</v>
      </c>
      <c r="W42" s="40" t="str">
        <f t="shared" ref="W42:AG42" si="60">"0x" &amp; MID($B42,$V42  + 2*(COLUMN() - COLUMN($W42)), 2)</f>
        <v>0x58</v>
      </c>
      <c r="X42" s="40" t="str">
        <f t="shared" si="60"/>
        <v>0xF4</v>
      </c>
      <c r="Y42" s="40" t="str">
        <f t="shared" si="60"/>
        <v>0x48</v>
      </c>
      <c r="Z42" s="40" t="str">
        <f t="shared" si="60"/>
        <v>0x82</v>
      </c>
      <c r="AA42" s="40" t="str">
        <f t="shared" si="60"/>
        <v>0xD1</v>
      </c>
      <c r="AB42" s="40" t="str">
        <f t="shared" si="60"/>
        <v>0x46</v>
      </c>
      <c r="AC42" s="40" t="str">
        <f t="shared" si="60"/>
        <v>0x02</v>
      </c>
      <c r="AD42" s="40" t="str">
        <f t="shared" si="60"/>
        <v>0x14</v>
      </c>
      <c r="AE42" s="40" t="str">
        <f t="shared" si="60"/>
        <v>0xD0</v>
      </c>
      <c r="AF42" s="40" t="str">
        <f t="shared" si="60"/>
        <v>0x65</v>
      </c>
      <c r="AG42" s="40" t="str">
        <f t="shared" si="60"/>
        <v>0x05</v>
      </c>
      <c r="AH42" s="40"/>
      <c r="AI42" s="40"/>
      <c r="AJ42" s="40"/>
      <c r="AK42" s="40"/>
      <c r="AL42" s="40"/>
      <c r="AM42" s="40"/>
      <c r="AN42" s="75"/>
    </row>
    <row r="43">
      <c r="A43" s="51" t="str">
        <f>IFERROR(__xludf.DUMMYFUNCTION("LEFT(REGEXREPLACE($H43, ""(?i)^8301(E000|E100|E200|E300)?"", """"), 4)"),"E910")</f>
        <v>E910</v>
      </c>
      <c r="B43" s="52" t="str">
        <f>IFERROR(__xludf.DUMMYFUNCTION("REGEXREPLACE($H43, ""(?i)^8301(E000|E100|E200|E300)?"", """")"),"E910000F0F515558F44882D146023ED06505")</f>
        <v>E910000F0F515558F44882D146023ED06505</v>
      </c>
      <c r="C43" s="65" t="s">
        <v>484</v>
      </c>
      <c r="D43" s="65" t="s">
        <v>485</v>
      </c>
      <c r="E43" s="65" t="s">
        <v>106</v>
      </c>
      <c r="F43" s="65" t="s">
        <v>107</v>
      </c>
      <c r="G43" s="67">
        <v>46220.0</v>
      </c>
      <c r="H43" s="68" t="s">
        <v>335</v>
      </c>
      <c r="I43" s="65"/>
      <c r="J43" s="57" t="str">
        <f t="shared" si="2"/>
        <v>0x10</v>
      </c>
      <c r="K43" s="58" t="str">
        <f t="shared" si="3"/>
        <v>0x00</v>
      </c>
      <c r="L43" s="58" t="str">
        <f t="shared" si="4"/>
        <v>0x0F</v>
      </c>
      <c r="M43" s="59">
        <v>2.0</v>
      </c>
      <c r="N43" s="59" t="str">
        <f t="shared" si="45"/>
        <v>0x0F</v>
      </c>
      <c r="O43" s="71" t="str">
        <f t="shared" si="46"/>
        <v>0x51</v>
      </c>
      <c r="P43" s="71" t="str">
        <f t="shared" si="47"/>
        <v>0x55</v>
      </c>
      <c r="Q43" s="71"/>
      <c r="R43" s="59"/>
      <c r="S43" s="71"/>
      <c r="T43" s="71"/>
      <c r="U43" s="71"/>
      <c r="V43" s="58">
        <v>15.0</v>
      </c>
      <c r="W43" s="58" t="str">
        <f t="shared" ref="W43:AG43" si="61">"0x" &amp; MID($B43,$V43  + 2*(COLUMN() - COLUMN($W43)), 2)</f>
        <v>0x58</v>
      </c>
      <c r="X43" s="58" t="str">
        <f t="shared" si="61"/>
        <v>0xF4</v>
      </c>
      <c r="Y43" s="58" t="str">
        <f t="shared" si="61"/>
        <v>0x48</v>
      </c>
      <c r="Z43" s="58" t="str">
        <f t="shared" si="61"/>
        <v>0x82</v>
      </c>
      <c r="AA43" s="58" t="str">
        <f t="shared" si="61"/>
        <v>0xD1</v>
      </c>
      <c r="AB43" s="58" t="str">
        <f t="shared" si="61"/>
        <v>0x46</v>
      </c>
      <c r="AC43" s="58" t="str">
        <f t="shared" si="61"/>
        <v>0x02</v>
      </c>
      <c r="AD43" s="58" t="str">
        <f t="shared" si="61"/>
        <v>0x3E</v>
      </c>
      <c r="AE43" s="58" t="str">
        <f t="shared" si="61"/>
        <v>0xD0</v>
      </c>
      <c r="AF43" s="58" t="str">
        <f t="shared" si="61"/>
        <v>0x65</v>
      </c>
      <c r="AG43" s="58" t="str">
        <f t="shared" si="61"/>
        <v>0x05</v>
      </c>
      <c r="AH43" s="58"/>
      <c r="AI43" s="58"/>
      <c r="AJ43" s="58"/>
      <c r="AK43" s="58"/>
      <c r="AL43" s="58"/>
      <c r="AM43" s="58"/>
      <c r="AN43" s="88"/>
    </row>
    <row r="44">
      <c r="A44" s="33" t="str">
        <f>IFERROR(__xludf.DUMMYFUNCTION("LEFT(REGEXREPLACE($H44, ""(?i)^8301(E000|E100|E200|E300)?"", """"), 4)"),"E911")</f>
        <v>E911</v>
      </c>
      <c r="B44" s="34" t="str">
        <f>IFERROR(__xludf.DUMMYFUNCTION("REGEXREPLACE($H44, ""(?i)^8301(E000|E100|E200|E300)?"", """")"),"E91100540F545158F44882D1460507D06532B0")</f>
        <v>E91100540F545158F44882D1460507D06532B0</v>
      </c>
      <c r="C44" s="36" t="s">
        <v>484</v>
      </c>
      <c r="D44" s="36" t="s">
        <v>495</v>
      </c>
      <c r="E44" s="36" t="s">
        <v>217</v>
      </c>
      <c r="F44" s="36" t="s">
        <v>218</v>
      </c>
      <c r="G44" s="37">
        <v>46244.0</v>
      </c>
      <c r="H44" s="38" t="s">
        <v>458</v>
      </c>
      <c r="I44" s="36"/>
      <c r="J44" s="39" t="str">
        <f t="shared" si="2"/>
        <v>0x11</v>
      </c>
      <c r="K44" s="40" t="str">
        <f t="shared" si="3"/>
        <v>0x00</v>
      </c>
      <c r="L44" s="40" t="str">
        <f t="shared" si="4"/>
        <v>0x54</v>
      </c>
      <c r="M44" s="77">
        <v>2.0</v>
      </c>
      <c r="N44" s="78" t="str">
        <f t="shared" si="45"/>
        <v>0x0F</v>
      </c>
      <c r="O44" s="72" t="str">
        <f t="shared" si="46"/>
        <v>0x54</v>
      </c>
      <c r="P44" s="72" t="str">
        <f t="shared" si="47"/>
        <v>0x51</v>
      </c>
      <c r="Q44" s="79"/>
      <c r="R44" s="80"/>
      <c r="S44" s="79"/>
      <c r="T44" s="79"/>
      <c r="U44" s="79"/>
      <c r="V44" s="81">
        <v>15.0</v>
      </c>
      <c r="W44" s="40" t="str">
        <f t="shared" ref="W44:AG44" si="62">"0x" &amp; MID($B44,$V44  + 2*(COLUMN() - COLUMN($W44)), 2)</f>
        <v>0x58</v>
      </c>
      <c r="X44" s="40" t="str">
        <f t="shared" si="62"/>
        <v>0xF4</v>
      </c>
      <c r="Y44" s="40" t="str">
        <f t="shared" si="62"/>
        <v>0x48</v>
      </c>
      <c r="Z44" s="40" t="str">
        <f t="shared" si="62"/>
        <v>0x82</v>
      </c>
      <c r="AA44" s="40" t="str">
        <f t="shared" si="62"/>
        <v>0xD1</v>
      </c>
      <c r="AB44" s="40" t="str">
        <f t="shared" si="62"/>
        <v>0x46</v>
      </c>
      <c r="AC44" s="40" t="str">
        <f t="shared" si="62"/>
        <v>0x05</v>
      </c>
      <c r="AD44" s="40" t="str">
        <f t="shared" si="62"/>
        <v>0x07</v>
      </c>
      <c r="AE44" s="40" t="str">
        <f t="shared" si="62"/>
        <v>0xD0</v>
      </c>
      <c r="AF44" s="40" t="str">
        <f t="shared" si="62"/>
        <v>0x65</v>
      </c>
      <c r="AG44" s="40" t="str">
        <f t="shared" si="62"/>
        <v>0x32</v>
      </c>
      <c r="AH44" s="40"/>
      <c r="AI44" s="40"/>
      <c r="AJ44" s="40"/>
      <c r="AK44" s="40"/>
      <c r="AL44" s="40"/>
      <c r="AM44" s="40"/>
      <c r="AN44" s="64" t="str">
        <f>"0x"&amp;MID($B44,37,2)</f>
        <v>0xB0</v>
      </c>
    </row>
    <row r="45">
      <c r="A45" s="51" t="str">
        <f>IFERROR(__xludf.DUMMYFUNCTION("LEFT(REGEXREPLACE($H45, ""(?i)^8301(E000|E100|E200|E300)?"", """"), 4)"),"E910")</f>
        <v>E910</v>
      </c>
      <c r="B45" s="52" t="str">
        <f>IFERROR(__xludf.DUMMYFUNCTION("REGEXREPLACE($H45, ""(?i)^8301(E000|E100|E200|E300)?"", """")"),"E910002A0F5D4058F44882D1460604D06543")</f>
        <v>E910002A0F5D4058F44882D1460604D06543</v>
      </c>
      <c r="C45" s="65" t="s">
        <v>490</v>
      </c>
      <c r="D45" s="65" t="s">
        <v>488</v>
      </c>
      <c r="E45" s="65" t="s">
        <v>106</v>
      </c>
      <c r="F45" s="65" t="s">
        <v>107</v>
      </c>
      <c r="G45" s="67">
        <v>46220.0</v>
      </c>
      <c r="H45" s="68" t="s">
        <v>347</v>
      </c>
      <c r="I45" s="65"/>
      <c r="J45" s="57" t="str">
        <f t="shared" si="2"/>
        <v>0x10</v>
      </c>
      <c r="K45" s="58" t="str">
        <f t="shared" si="3"/>
        <v>0x00</v>
      </c>
      <c r="L45" s="58" t="str">
        <f t="shared" si="4"/>
        <v>0x2A</v>
      </c>
      <c r="M45" s="59">
        <v>2.0</v>
      </c>
      <c r="N45" s="59" t="str">
        <f t="shared" si="45"/>
        <v>0x0F</v>
      </c>
      <c r="O45" s="71" t="str">
        <f t="shared" si="46"/>
        <v>0x5D</v>
      </c>
      <c r="P45" s="71" t="str">
        <f t="shared" si="47"/>
        <v>0x40</v>
      </c>
      <c r="Q45" s="71"/>
      <c r="R45" s="59"/>
      <c r="S45" s="71"/>
      <c r="T45" s="71"/>
      <c r="U45" s="71"/>
      <c r="V45" s="58">
        <v>15.0</v>
      </c>
      <c r="W45" s="58" t="str">
        <f t="shared" ref="W45:AG45" si="63">"0x" &amp; MID($B45,$V45  + 2*(COLUMN() - COLUMN($W45)), 2)</f>
        <v>0x58</v>
      </c>
      <c r="X45" s="58" t="str">
        <f t="shared" si="63"/>
        <v>0xF4</v>
      </c>
      <c r="Y45" s="58" t="str">
        <f t="shared" si="63"/>
        <v>0x48</v>
      </c>
      <c r="Z45" s="58" t="str">
        <f t="shared" si="63"/>
        <v>0x82</v>
      </c>
      <c r="AA45" s="58" t="str">
        <f t="shared" si="63"/>
        <v>0xD1</v>
      </c>
      <c r="AB45" s="58" t="str">
        <f t="shared" si="63"/>
        <v>0x46</v>
      </c>
      <c r="AC45" s="58" t="str">
        <f t="shared" si="63"/>
        <v>0x06</v>
      </c>
      <c r="AD45" s="58" t="str">
        <f t="shared" si="63"/>
        <v>0x04</v>
      </c>
      <c r="AE45" s="58" t="str">
        <f t="shared" si="63"/>
        <v>0xD0</v>
      </c>
      <c r="AF45" s="58" t="str">
        <f t="shared" si="63"/>
        <v>0x65</v>
      </c>
      <c r="AG45" s="58" t="str">
        <f t="shared" si="63"/>
        <v>0x43</v>
      </c>
      <c r="AH45" s="58"/>
      <c r="AI45" s="58"/>
      <c r="AJ45" s="58"/>
      <c r="AK45" s="58"/>
      <c r="AL45" s="58"/>
      <c r="AM45" s="58"/>
      <c r="AN45" s="88"/>
    </row>
    <row r="46">
      <c r="A46" s="33" t="str">
        <f>IFERROR(__xludf.DUMMYFUNCTION("LEFT(REGEXREPLACE($H46, ""(?i)^8301(E000|E100|E200|E300)?"", """"), 4)"),"E911")</f>
        <v>E911</v>
      </c>
      <c r="B46" s="34" t="str">
        <f>IFERROR(__xludf.DUMMYFUNCTION("REGEXREPLACE($H46, ""(?i)^8301(E000|E100|E200|E300)?"", """")"),"E91100440F475558F44882D1460607D06536B0")</f>
        <v>E91100440F475558F44882D1460607D06536B0</v>
      </c>
      <c r="C46" s="36" t="s">
        <v>484</v>
      </c>
      <c r="D46" s="36" t="s">
        <v>492</v>
      </c>
      <c r="E46" s="36" t="s">
        <v>129</v>
      </c>
      <c r="F46" s="36" t="s">
        <v>137</v>
      </c>
      <c r="G46" s="37">
        <v>46207.0</v>
      </c>
      <c r="H46" s="44" t="s">
        <v>372</v>
      </c>
      <c r="I46" s="36"/>
      <c r="J46" s="39" t="str">
        <f t="shared" si="2"/>
        <v>0x11</v>
      </c>
      <c r="K46" s="40" t="str">
        <f t="shared" si="3"/>
        <v>0x00</v>
      </c>
      <c r="L46" s="40" t="str">
        <f t="shared" si="4"/>
        <v>0x44</v>
      </c>
      <c r="M46" s="77">
        <v>2.0</v>
      </c>
      <c r="N46" s="78" t="str">
        <f t="shared" si="45"/>
        <v>0x0F</v>
      </c>
      <c r="O46" s="72" t="str">
        <f t="shared" si="46"/>
        <v>0x47</v>
      </c>
      <c r="P46" s="72" t="str">
        <f t="shared" si="47"/>
        <v>0x55</v>
      </c>
      <c r="Q46" s="79"/>
      <c r="R46" s="80"/>
      <c r="S46" s="79"/>
      <c r="T46" s="79"/>
      <c r="U46" s="79"/>
      <c r="V46" s="81">
        <v>15.0</v>
      </c>
      <c r="W46" s="40" t="str">
        <f t="shared" ref="W46:AG46" si="64">"0x" &amp; MID($B46,$V46  + 2*(COLUMN() - COLUMN($W46)), 2)</f>
        <v>0x58</v>
      </c>
      <c r="X46" s="40" t="str">
        <f t="shared" si="64"/>
        <v>0xF4</v>
      </c>
      <c r="Y46" s="40" t="str">
        <f t="shared" si="64"/>
        <v>0x48</v>
      </c>
      <c r="Z46" s="40" t="str">
        <f t="shared" si="64"/>
        <v>0x82</v>
      </c>
      <c r="AA46" s="40" t="str">
        <f t="shared" si="64"/>
        <v>0xD1</v>
      </c>
      <c r="AB46" s="40" t="str">
        <f t="shared" si="64"/>
        <v>0x46</v>
      </c>
      <c r="AC46" s="40" t="str">
        <f t="shared" si="64"/>
        <v>0x06</v>
      </c>
      <c r="AD46" s="40" t="str">
        <f t="shared" si="64"/>
        <v>0x07</v>
      </c>
      <c r="AE46" s="40" t="str">
        <f t="shared" si="64"/>
        <v>0xD0</v>
      </c>
      <c r="AF46" s="40" t="str">
        <f t="shared" si="64"/>
        <v>0x65</v>
      </c>
      <c r="AG46" s="40" t="str">
        <f t="shared" si="64"/>
        <v>0x36</v>
      </c>
      <c r="AH46" s="40"/>
      <c r="AI46" s="40"/>
      <c r="AJ46" s="40"/>
      <c r="AK46" s="40"/>
      <c r="AL46" s="40"/>
      <c r="AM46" s="40"/>
      <c r="AN46" s="64" t="str">
        <f t="shared" ref="AN46:AN49" si="66">"0x"&amp;MID($B46,37,2)</f>
        <v>0xB0</v>
      </c>
    </row>
    <row r="47">
      <c r="A47" s="51" t="str">
        <f>IFERROR(__xludf.DUMMYFUNCTION("LEFT(REGEXREPLACE($H47, ""(?i)^8301(E000|E100|E200|E300)?"", """"), 4)"),"E911")</f>
        <v>E911</v>
      </c>
      <c r="B47" s="52" t="str">
        <f>IFERROR(__xludf.DUMMYFUNCTION("REGEXREPLACE($H47, ""(?i)^8301(E000|E100|E200|E300)?"", """")"),"E911004F0F444F58F44882D1460607D06543B0")</f>
        <v>E911004F0F444F58F44882D1460607D06543B0</v>
      </c>
      <c r="C47" s="65" t="s">
        <v>484</v>
      </c>
      <c r="D47" s="65" t="s">
        <v>494</v>
      </c>
      <c r="E47" s="65" t="s">
        <v>75</v>
      </c>
      <c r="F47" s="65" t="s">
        <v>120</v>
      </c>
      <c r="G47" s="67">
        <v>46219.0</v>
      </c>
      <c r="H47" s="68" t="s">
        <v>375</v>
      </c>
      <c r="I47" s="65"/>
      <c r="J47" s="57" t="str">
        <f t="shared" si="2"/>
        <v>0x11</v>
      </c>
      <c r="K47" s="58" t="str">
        <f t="shared" si="3"/>
        <v>0x00</v>
      </c>
      <c r="L47" s="58" t="str">
        <f t="shared" si="4"/>
        <v>0x4F</v>
      </c>
      <c r="M47" s="82">
        <v>2.0</v>
      </c>
      <c r="N47" s="83" t="str">
        <f t="shared" si="45"/>
        <v>0x0F</v>
      </c>
      <c r="O47" s="84" t="str">
        <f t="shared" si="46"/>
        <v>0x44</v>
      </c>
      <c r="P47" s="84" t="str">
        <f t="shared" si="47"/>
        <v>0x4F</v>
      </c>
      <c r="Q47" s="85"/>
      <c r="R47" s="86"/>
      <c r="S47" s="85"/>
      <c r="T47" s="85"/>
      <c r="U47" s="85"/>
      <c r="V47" s="87">
        <v>15.0</v>
      </c>
      <c r="W47" s="58" t="str">
        <f t="shared" ref="W47:AG47" si="65">"0x" &amp; MID($B47,$V47  + 2*(COLUMN() - COLUMN($W47)), 2)</f>
        <v>0x58</v>
      </c>
      <c r="X47" s="58" t="str">
        <f t="shared" si="65"/>
        <v>0xF4</v>
      </c>
      <c r="Y47" s="58" t="str">
        <f t="shared" si="65"/>
        <v>0x48</v>
      </c>
      <c r="Z47" s="58" t="str">
        <f t="shared" si="65"/>
        <v>0x82</v>
      </c>
      <c r="AA47" s="58" t="str">
        <f t="shared" si="65"/>
        <v>0xD1</v>
      </c>
      <c r="AB47" s="58" t="str">
        <f t="shared" si="65"/>
        <v>0x46</v>
      </c>
      <c r="AC47" s="58" t="str">
        <f t="shared" si="65"/>
        <v>0x06</v>
      </c>
      <c r="AD47" s="58" t="str">
        <f t="shared" si="65"/>
        <v>0x07</v>
      </c>
      <c r="AE47" s="58" t="str">
        <f t="shared" si="65"/>
        <v>0xD0</v>
      </c>
      <c r="AF47" s="58" t="str">
        <f t="shared" si="65"/>
        <v>0x65</v>
      </c>
      <c r="AG47" s="58" t="str">
        <f t="shared" si="65"/>
        <v>0x43</v>
      </c>
      <c r="AH47" s="58"/>
      <c r="AI47" s="58"/>
      <c r="AJ47" s="58"/>
      <c r="AK47" s="58"/>
      <c r="AL47" s="58"/>
      <c r="AM47" s="58"/>
      <c r="AN47" s="74" t="str">
        <f t="shared" si="66"/>
        <v>0xB0</v>
      </c>
    </row>
    <row r="48">
      <c r="A48" s="33" t="str">
        <f>IFERROR(__xludf.DUMMYFUNCTION("LEFT(REGEXREPLACE($H48, ""(?i)^8301(E000|E100|E200|E300)?"", """"), 4)"),"E911")</f>
        <v>E911</v>
      </c>
      <c r="B48" s="34" t="str">
        <f>IFERROR(__xludf.DUMMYFUNCTION("REGEXREPLACE($H48, ""(?i)^8301(E000|E100|E200|E300)?"", """")"),"E911006F0F445B58F44882D1460609D06543B0")</f>
        <v>E911006F0F445B58F44882D1460609D06543B0</v>
      </c>
      <c r="C48" s="36" t="s">
        <v>484</v>
      </c>
      <c r="D48" s="36" t="s">
        <v>496</v>
      </c>
      <c r="E48" s="36" t="s">
        <v>75</v>
      </c>
      <c r="F48" s="36" t="s">
        <v>76</v>
      </c>
      <c r="G48" s="37">
        <v>46208.0</v>
      </c>
      <c r="H48" s="38" t="s">
        <v>384</v>
      </c>
      <c r="I48" s="36"/>
      <c r="J48" s="39" t="str">
        <f t="shared" si="2"/>
        <v>0x11</v>
      </c>
      <c r="K48" s="40" t="str">
        <f t="shared" si="3"/>
        <v>0x00</v>
      </c>
      <c r="L48" s="40" t="str">
        <f t="shared" si="4"/>
        <v>0x6F</v>
      </c>
      <c r="M48" s="77">
        <v>2.0</v>
      </c>
      <c r="N48" s="78" t="str">
        <f t="shared" si="45"/>
        <v>0x0F</v>
      </c>
      <c r="O48" s="72" t="str">
        <f t="shared" si="46"/>
        <v>0x44</v>
      </c>
      <c r="P48" s="72" t="str">
        <f t="shared" si="47"/>
        <v>0x5B</v>
      </c>
      <c r="Q48" s="79"/>
      <c r="R48" s="80"/>
      <c r="S48" s="79"/>
      <c r="T48" s="79"/>
      <c r="U48" s="79"/>
      <c r="V48" s="81">
        <v>15.0</v>
      </c>
      <c r="W48" s="40" t="str">
        <f t="shared" ref="W48:AG48" si="67">"0x" &amp; MID($B48,$V48  + 2*(COLUMN() - COLUMN($W48)), 2)</f>
        <v>0x58</v>
      </c>
      <c r="X48" s="40" t="str">
        <f t="shared" si="67"/>
        <v>0xF4</v>
      </c>
      <c r="Y48" s="40" t="str">
        <f t="shared" si="67"/>
        <v>0x48</v>
      </c>
      <c r="Z48" s="40" t="str">
        <f t="shared" si="67"/>
        <v>0x82</v>
      </c>
      <c r="AA48" s="40" t="str">
        <f t="shared" si="67"/>
        <v>0xD1</v>
      </c>
      <c r="AB48" s="40" t="str">
        <f t="shared" si="67"/>
        <v>0x46</v>
      </c>
      <c r="AC48" s="40" t="str">
        <f t="shared" si="67"/>
        <v>0x06</v>
      </c>
      <c r="AD48" s="40" t="str">
        <f t="shared" si="67"/>
        <v>0x09</v>
      </c>
      <c r="AE48" s="40" t="str">
        <f t="shared" si="67"/>
        <v>0xD0</v>
      </c>
      <c r="AF48" s="40" t="str">
        <f t="shared" si="67"/>
        <v>0x65</v>
      </c>
      <c r="AG48" s="40" t="str">
        <f t="shared" si="67"/>
        <v>0x43</v>
      </c>
      <c r="AH48" s="40"/>
      <c r="AI48" s="40"/>
      <c r="AJ48" s="40"/>
      <c r="AK48" s="40"/>
      <c r="AL48" s="40"/>
      <c r="AM48" s="40"/>
      <c r="AN48" s="64" t="str">
        <f t="shared" si="66"/>
        <v>0xB0</v>
      </c>
    </row>
    <row r="49">
      <c r="A49" s="51" t="str">
        <f>IFERROR(__xludf.DUMMYFUNCTION("LEFT(REGEXREPLACE($H49, ""(?i)^8301(E000|E100|E200|E300)?"", """"), 4)"),"E911")</f>
        <v>E911</v>
      </c>
      <c r="B49" s="52" t="str">
        <f>IFERROR(__xludf.DUMMYFUNCTION("REGEXREPLACE($H49, ""(?i)^8301(E000|E100|E200|E300)?"", """")"),"E911000F0F444F58F44882D146060AD06543B0")</f>
        <v>E911000F0F444F58F44882D146060AD06543B0</v>
      </c>
      <c r="C49" s="65" t="s">
        <v>484</v>
      </c>
      <c r="D49" s="65" t="s">
        <v>491</v>
      </c>
      <c r="E49" s="65" t="s">
        <v>75</v>
      </c>
      <c r="F49" s="65" t="s">
        <v>120</v>
      </c>
      <c r="G49" s="67">
        <v>46219.0</v>
      </c>
      <c r="H49" s="68" t="s">
        <v>361</v>
      </c>
      <c r="I49" s="65"/>
      <c r="J49" s="57" t="str">
        <f t="shared" si="2"/>
        <v>0x11</v>
      </c>
      <c r="K49" s="58" t="str">
        <f t="shared" si="3"/>
        <v>0x00</v>
      </c>
      <c r="L49" s="58" t="str">
        <f t="shared" si="4"/>
        <v>0x0F</v>
      </c>
      <c r="M49" s="82">
        <v>2.0</v>
      </c>
      <c r="N49" s="83" t="str">
        <f t="shared" si="45"/>
        <v>0x0F</v>
      </c>
      <c r="O49" s="84" t="str">
        <f t="shared" si="46"/>
        <v>0x44</v>
      </c>
      <c r="P49" s="84" t="str">
        <f t="shared" si="47"/>
        <v>0x4F</v>
      </c>
      <c r="Q49" s="85"/>
      <c r="R49" s="86"/>
      <c r="S49" s="85"/>
      <c r="T49" s="85"/>
      <c r="U49" s="85"/>
      <c r="V49" s="87">
        <v>15.0</v>
      </c>
      <c r="W49" s="58" t="str">
        <f t="shared" ref="W49:AG49" si="68">"0x" &amp; MID($B49,$V49  + 2*(COLUMN() - COLUMN($W49)), 2)</f>
        <v>0x58</v>
      </c>
      <c r="X49" s="58" t="str">
        <f t="shared" si="68"/>
        <v>0xF4</v>
      </c>
      <c r="Y49" s="58" t="str">
        <f t="shared" si="68"/>
        <v>0x48</v>
      </c>
      <c r="Z49" s="58" t="str">
        <f t="shared" si="68"/>
        <v>0x82</v>
      </c>
      <c r="AA49" s="58" t="str">
        <f t="shared" si="68"/>
        <v>0xD1</v>
      </c>
      <c r="AB49" s="58" t="str">
        <f t="shared" si="68"/>
        <v>0x46</v>
      </c>
      <c r="AC49" s="58" t="str">
        <f t="shared" si="68"/>
        <v>0x06</v>
      </c>
      <c r="AD49" s="58" t="str">
        <f t="shared" si="68"/>
        <v>0x0A</v>
      </c>
      <c r="AE49" s="58" t="str">
        <f t="shared" si="68"/>
        <v>0xD0</v>
      </c>
      <c r="AF49" s="58" t="str">
        <f t="shared" si="68"/>
        <v>0x65</v>
      </c>
      <c r="AG49" s="58" t="str">
        <f t="shared" si="68"/>
        <v>0x43</v>
      </c>
      <c r="AH49" s="58"/>
      <c r="AI49" s="58"/>
      <c r="AJ49" s="58"/>
      <c r="AK49" s="58"/>
      <c r="AL49" s="58"/>
      <c r="AM49" s="58"/>
      <c r="AN49" s="74" t="str">
        <f t="shared" si="66"/>
        <v>0xB0</v>
      </c>
    </row>
    <row r="50">
      <c r="A50" s="33" t="str">
        <f>IFERROR(__xludf.DUMMYFUNCTION("LEFT(REGEXREPLACE($H50, ""(?i)^8301(E000|E100|E200|E300)?"", """"), 4)"),"E90F")</f>
        <v>E90F</v>
      </c>
      <c r="B50" s="34" t="str">
        <f>IFERROR(__xludf.DUMMYFUNCTION("REGEXREPLACE($H50, ""(?i)^8301(E000|E100|E200|E300)?"", """")"),"E90F00010F555B5807488DD2462A0717B0")</f>
        <v>E90F00010F555B5807488DD2462A0717B0</v>
      </c>
      <c r="C50" s="36" t="s">
        <v>25</v>
      </c>
      <c r="D50" s="36"/>
      <c r="E50" s="36" t="s">
        <v>217</v>
      </c>
      <c r="F50" s="36" t="s">
        <v>218</v>
      </c>
      <c r="G50" s="37">
        <v>46244.0</v>
      </c>
      <c r="H50" s="38" t="s">
        <v>461</v>
      </c>
      <c r="I50" s="36"/>
      <c r="J50" s="39" t="str">
        <f t="shared" si="2"/>
        <v>0x0F</v>
      </c>
      <c r="K50" s="40" t="str">
        <f t="shared" si="3"/>
        <v>0x00</v>
      </c>
      <c r="L50" s="40" t="str">
        <f t="shared" si="4"/>
        <v>0x01</v>
      </c>
      <c r="M50" s="42">
        <v>2.0</v>
      </c>
      <c r="N50" s="42" t="str">
        <f t="shared" si="45"/>
        <v>0x0F</v>
      </c>
      <c r="O50" s="48" t="str">
        <f t="shared" si="46"/>
        <v>0x55</v>
      </c>
      <c r="P50" s="48" t="str">
        <f t="shared" si="47"/>
        <v>0x5B</v>
      </c>
      <c r="Q50" s="45"/>
      <c r="R50" s="46"/>
      <c r="S50" s="45"/>
      <c r="T50" s="45"/>
      <c r="U50" s="45"/>
      <c r="V50" s="40">
        <v>15.0</v>
      </c>
      <c r="W50" s="40" t="str">
        <f t="shared" ref="W50:AE50" si="69">"0x" &amp; MID($B50,$V50  + 2*(COLUMN() - COLUMN($W50)), 2)</f>
        <v>0x58</v>
      </c>
      <c r="X50" s="40" t="str">
        <f t="shared" si="69"/>
        <v>0x07</v>
      </c>
      <c r="Y50" s="40" t="str">
        <f t="shared" si="69"/>
        <v>0x48</v>
      </c>
      <c r="Z50" s="40" t="str">
        <f t="shared" si="69"/>
        <v>0x8D</v>
      </c>
      <c r="AA50" s="40" t="str">
        <f t="shared" si="69"/>
        <v>0xD2</v>
      </c>
      <c r="AB50" s="40" t="str">
        <f t="shared" si="69"/>
        <v>0x46</v>
      </c>
      <c r="AC50" s="40" t="str">
        <f t="shared" si="69"/>
        <v>0x2A</v>
      </c>
      <c r="AD50" s="40" t="str">
        <f t="shared" si="69"/>
        <v>0x07</v>
      </c>
      <c r="AE50" s="40" t="str">
        <f t="shared" si="69"/>
        <v>0x17</v>
      </c>
      <c r="AF50" s="40"/>
      <c r="AG50" s="40"/>
      <c r="AH50" s="40"/>
      <c r="AI50" s="40"/>
      <c r="AJ50" s="40"/>
      <c r="AK50" s="40"/>
      <c r="AL50" s="40"/>
      <c r="AM50" s="40"/>
      <c r="AN50" s="75" t="str">
        <f>"0x"&amp;MID($B50,33,2)</f>
        <v>0xB0</v>
      </c>
    </row>
    <row r="51">
      <c r="A51" s="51" t="str">
        <f>IFERROR(__xludf.DUMMYFUNCTION("LEFT(REGEXREPLACE($H51, ""(?i)^8301(E000|E100|E200|E300)?"", """"), 4)"),"E914")</f>
        <v>E914</v>
      </c>
      <c r="B51" s="52" t="str">
        <f>IFERROR(__xludf.DUMMYFUNCTION("REGEXREPLACE($H51, ""(?i)^8301(E000|E100|E200|E300)?"", """")"),"E91400070F564258F44882D06500D146040A307B26B0")</f>
        <v>E91400070F564258F44882D06500D146040A307B26B0</v>
      </c>
      <c r="C51" s="65" t="s">
        <v>25</v>
      </c>
      <c r="D51" s="65" t="s">
        <v>497</v>
      </c>
      <c r="E51" s="65" t="s">
        <v>106</v>
      </c>
      <c r="F51" s="65" t="s">
        <v>175</v>
      </c>
      <c r="G51" s="67">
        <v>46220.0</v>
      </c>
      <c r="H51" s="68" t="s">
        <v>428</v>
      </c>
      <c r="I51" s="65"/>
      <c r="J51" s="57" t="str">
        <f t="shared" si="2"/>
        <v>0x14</v>
      </c>
      <c r="K51" s="58" t="str">
        <f t="shared" si="3"/>
        <v>0x00</v>
      </c>
      <c r="L51" s="58" t="str">
        <f t="shared" si="4"/>
        <v>0x07</v>
      </c>
      <c r="M51" s="82">
        <v>2.0</v>
      </c>
      <c r="N51" s="83" t="str">
        <f t="shared" si="45"/>
        <v>0x0F</v>
      </c>
      <c r="O51" s="84" t="str">
        <f t="shared" si="46"/>
        <v>0x56</v>
      </c>
      <c r="P51" s="84" t="str">
        <f t="shared" si="47"/>
        <v>0x42</v>
      </c>
      <c r="Q51" s="85"/>
      <c r="R51" s="86"/>
      <c r="S51" s="85"/>
      <c r="T51" s="85"/>
      <c r="U51" s="85"/>
      <c r="V51" s="87">
        <v>15.0</v>
      </c>
      <c r="W51" s="58" t="str">
        <f t="shared" ref="W51:AJ51" si="70">"0x" &amp; MID($B51,$V51  + 2*(COLUMN() - COLUMN($W51)), 2)</f>
        <v>0x58</v>
      </c>
      <c r="X51" s="58" t="str">
        <f t="shared" si="70"/>
        <v>0xF4</v>
      </c>
      <c r="Y51" s="58" t="str">
        <f t="shared" si="70"/>
        <v>0x48</v>
      </c>
      <c r="Z51" s="58" t="str">
        <f t="shared" si="70"/>
        <v>0x82</v>
      </c>
      <c r="AA51" s="58" t="str">
        <f t="shared" si="70"/>
        <v>0xD0</v>
      </c>
      <c r="AB51" s="58" t="str">
        <f t="shared" si="70"/>
        <v>0x65</v>
      </c>
      <c r="AC51" s="58" t="str">
        <f t="shared" si="70"/>
        <v>0x00</v>
      </c>
      <c r="AD51" s="58" t="str">
        <f t="shared" si="70"/>
        <v>0xD1</v>
      </c>
      <c r="AE51" s="58" t="str">
        <f t="shared" si="70"/>
        <v>0x46</v>
      </c>
      <c r="AF51" s="58" t="str">
        <f t="shared" si="70"/>
        <v>0x04</v>
      </c>
      <c r="AG51" s="58" t="str">
        <f t="shared" si="70"/>
        <v>0x0A</v>
      </c>
      <c r="AH51" s="58" t="str">
        <f t="shared" si="70"/>
        <v>0x30</v>
      </c>
      <c r="AI51" s="58" t="str">
        <f t="shared" si="70"/>
        <v>0x7B</v>
      </c>
      <c r="AJ51" s="58" t="str">
        <f t="shared" si="70"/>
        <v>0x26</v>
      </c>
      <c r="AK51" s="58"/>
      <c r="AL51" s="58"/>
      <c r="AM51" s="58"/>
      <c r="AN51" s="74" t="str">
        <f t="shared" ref="AN51:AN54" si="72">"0x"&amp;MID($B51,43,2)</f>
        <v>0xB0</v>
      </c>
    </row>
    <row r="52">
      <c r="A52" s="33" t="str">
        <f>IFERROR(__xludf.DUMMYFUNCTION("LEFT(REGEXREPLACE($H52, ""(?i)^8301(E000|E100|E200|E300)?"", """"), 4)"),"E914")</f>
        <v>E914</v>
      </c>
      <c r="B52" s="34" t="str">
        <f>IFERROR(__xludf.DUMMYFUNCTION("REGEXREPLACE($H52, ""(?i)^8301(E000|E100|E200|E300)?"", """")"),"E91400030F5D5458F44882D0650AD1460228307B00B0")</f>
        <v>E91400030F5D5458F44882D0650AD1460228307B00B0</v>
      </c>
      <c r="C52" s="36" t="s">
        <v>25</v>
      </c>
      <c r="D52" s="36" t="s">
        <v>497</v>
      </c>
      <c r="E52" s="36" t="s">
        <v>75</v>
      </c>
      <c r="F52" s="36" t="s">
        <v>120</v>
      </c>
      <c r="G52" s="37">
        <v>46228.0</v>
      </c>
      <c r="H52" s="38" t="s">
        <v>426</v>
      </c>
      <c r="I52" s="36"/>
      <c r="J52" s="39" t="str">
        <f t="shared" si="2"/>
        <v>0x14</v>
      </c>
      <c r="K52" s="40" t="str">
        <f t="shared" si="3"/>
        <v>0x00</v>
      </c>
      <c r="L52" s="40" t="str">
        <f t="shared" si="4"/>
        <v>0x03</v>
      </c>
      <c r="M52" s="77">
        <v>2.0</v>
      </c>
      <c r="N52" s="78" t="str">
        <f t="shared" si="45"/>
        <v>0x0F</v>
      </c>
      <c r="O52" s="72" t="str">
        <f t="shared" si="46"/>
        <v>0x5D</v>
      </c>
      <c r="P52" s="72" t="str">
        <f t="shared" si="47"/>
        <v>0x54</v>
      </c>
      <c r="Q52" s="79"/>
      <c r="R52" s="80"/>
      <c r="S52" s="79"/>
      <c r="T52" s="79"/>
      <c r="U52" s="79"/>
      <c r="V52" s="81">
        <v>15.0</v>
      </c>
      <c r="W52" s="40" t="str">
        <f t="shared" ref="W52:AJ52" si="71">"0x" &amp; MID($B52,$V52  + 2*(COLUMN() - COLUMN($W52)), 2)</f>
        <v>0x58</v>
      </c>
      <c r="X52" s="40" t="str">
        <f t="shared" si="71"/>
        <v>0xF4</v>
      </c>
      <c r="Y52" s="40" t="str">
        <f t="shared" si="71"/>
        <v>0x48</v>
      </c>
      <c r="Z52" s="40" t="str">
        <f t="shared" si="71"/>
        <v>0x82</v>
      </c>
      <c r="AA52" s="40" t="str">
        <f t="shared" si="71"/>
        <v>0xD0</v>
      </c>
      <c r="AB52" s="40" t="str">
        <f t="shared" si="71"/>
        <v>0x65</v>
      </c>
      <c r="AC52" s="40" t="str">
        <f t="shared" si="71"/>
        <v>0x0A</v>
      </c>
      <c r="AD52" s="40" t="str">
        <f t="shared" si="71"/>
        <v>0xD1</v>
      </c>
      <c r="AE52" s="40" t="str">
        <f t="shared" si="71"/>
        <v>0x46</v>
      </c>
      <c r="AF52" s="40" t="str">
        <f t="shared" si="71"/>
        <v>0x02</v>
      </c>
      <c r="AG52" s="40" t="str">
        <f t="shared" si="71"/>
        <v>0x28</v>
      </c>
      <c r="AH52" s="40" t="str">
        <f t="shared" si="71"/>
        <v>0x30</v>
      </c>
      <c r="AI52" s="40" t="str">
        <f t="shared" si="71"/>
        <v>0x7B</v>
      </c>
      <c r="AJ52" s="40" t="str">
        <f t="shared" si="71"/>
        <v>0x00</v>
      </c>
      <c r="AK52" s="40"/>
      <c r="AL52" s="40"/>
      <c r="AM52" s="40"/>
      <c r="AN52" s="64" t="str">
        <f t="shared" si="72"/>
        <v>0xB0</v>
      </c>
    </row>
    <row r="53">
      <c r="A53" s="51" t="str">
        <f>IFERROR(__xludf.DUMMYFUNCTION("LEFT(REGEXREPLACE($H53, ""(?i)^8301(E000|E100|E200|E300)?"", """"), 4)"),"E914")</f>
        <v>E914</v>
      </c>
      <c r="B53" s="52" t="str">
        <f>IFERROR(__xludf.DUMMYFUNCTION("REGEXREPLACE($H53, ""(?i)^8301(E000|E100|E200|E300)?"", """")"),"E91400110F545158F44882D06511D1462A02307B33BA")</f>
        <v>E91400110F545158F44882D06511D1462A02307B33BA</v>
      </c>
      <c r="C53" s="65" t="s">
        <v>25</v>
      </c>
      <c r="D53" s="65"/>
      <c r="E53" s="65" t="s">
        <v>217</v>
      </c>
      <c r="F53" s="65" t="s">
        <v>218</v>
      </c>
      <c r="G53" s="67">
        <v>46244.0</v>
      </c>
      <c r="H53" s="68" t="s">
        <v>450</v>
      </c>
      <c r="I53" s="65"/>
      <c r="J53" s="57" t="str">
        <f t="shared" si="2"/>
        <v>0x14</v>
      </c>
      <c r="K53" s="58" t="str">
        <f t="shared" si="3"/>
        <v>0x00</v>
      </c>
      <c r="L53" s="58" t="str">
        <f t="shared" si="4"/>
        <v>0x11</v>
      </c>
      <c r="M53" s="82">
        <v>2.0</v>
      </c>
      <c r="N53" s="83" t="str">
        <f t="shared" si="45"/>
        <v>0x0F</v>
      </c>
      <c r="O53" s="84" t="str">
        <f t="shared" si="46"/>
        <v>0x54</v>
      </c>
      <c r="P53" s="84" t="str">
        <f t="shared" si="47"/>
        <v>0x51</v>
      </c>
      <c r="Q53" s="85"/>
      <c r="R53" s="86"/>
      <c r="S53" s="85"/>
      <c r="T53" s="85"/>
      <c r="U53" s="85"/>
      <c r="V53" s="87">
        <v>15.0</v>
      </c>
      <c r="W53" s="58" t="str">
        <f t="shared" ref="W53:AJ53" si="73">"0x" &amp; MID($B53,$V53  + 2*(COLUMN() - COLUMN($W53)), 2)</f>
        <v>0x58</v>
      </c>
      <c r="X53" s="58" t="str">
        <f t="shared" si="73"/>
        <v>0xF4</v>
      </c>
      <c r="Y53" s="58" t="str">
        <f t="shared" si="73"/>
        <v>0x48</v>
      </c>
      <c r="Z53" s="58" t="str">
        <f t="shared" si="73"/>
        <v>0x82</v>
      </c>
      <c r="AA53" s="58" t="str">
        <f t="shared" si="73"/>
        <v>0xD0</v>
      </c>
      <c r="AB53" s="58" t="str">
        <f t="shared" si="73"/>
        <v>0x65</v>
      </c>
      <c r="AC53" s="58" t="str">
        <f t="shared" si="73"/>
        <v>0x11</v>
      </c>
      <c r="AD53" s="58" t="str">
        <f t="shared" si="73"/>
        <v>0xD1</v>
      </c>
      <c r="AE53" s="58" t="str">
        <f t="shared" si="73"/>
        <v>0x46</v>
      </c>
      <c r="AF53" s="58" t="str">
        <f t="shared" si="73"/>
        <v>0x2A</v>
      </c>
      <c r="AG53" s="58" t="str">
        <f t="shared" si="73"/>
        <v>0x02</v>
      </c>
      <c r="AH53" s="58" t="str">
        <f t="shared" si="73"/>
        <v>0x30</v>
      </c>
      <c r="AI53" s="58" t="str">
        <f t="shared" si="73"/>
        <v>0x7B</v>
      </c>
      <c r="AJ53" s="58" t="str">
        <f t="shared" si="73"/>
        <v>0x33</v>
      </c>
      <c r="AK53" s="58"/>
      <c r="AL53" s="58"/>
      <c r="AM53" s="58"/>
      <c r="AN53" s="74" t="str">
        <f t="shared" si="72"/>
        <v>0xBA</v>
      </c>
    </row>
    <row r="54">
      <c r="A54" s="33" t="str">
        <f>IFERROR(__xludf.DUMMYFUNCTION("LEFT(REGEXREPLACE($H54, ""(?i)^8301(E000|E100|E200|E300)?"", """"), 4)"),"E914")</f>
        <v>E914</v>
      </c>
      <c r="B54" s="34" t="str">
        <f>IFERROR(__xludf.DUMMYFUNCTION("REGEXREPLACE($H54, ""(?i)^8301(E000|E100|E200|E300)?"", """")"),"E91400060F4D5D58F44882D0651CD14602ED307BFFB0")</f>
        <v>E91400060F4D5D58F44882D0651CD14602ED307BFFB0</v>
      </c>
      <c r="C54" s="36" t="s">
        <v>25</v>
      </c>
      <c r="D54" s="36" t="s">
        <v>497</v>
      </c>
      <c r="E54" s="36" t="s">
        <v>75</v>
      </c>
      <c r="F54" s="36" t="s">
        <v>120</v>
      </c>
      <c r="G54" s="37">
        <v>46228.0</v>
      </c>
      <c r="H54" s="38" t="s">
        <v>427</v>
      </c>
      <c r="I54" s="36"/>
      <c r="J54" s="39" t="str">
        <f t="shared" si="2"/>
        <v>0x14</v>
      </c>
      <c r="K54" s="40" t="str">
        <f t="shared" si="3"/>
        <v>0x00</v>
      </c>
      <c r="L54" s="40" t="str">
        <f t="shared" si="4"/>
        <v>0x06</v>
      </c>
      <c r="M54" s="77">
        <v>2.0</v>
      </c>
      <c r="N54" s="78" t="str">
        <f t="shared" si="45"/>
        <v>0x0F</v>
      </c>
      <c r="O54" s="72" t="str">
        <f t="shared" si="46"/>
        <v>0x4D</v>
      </c>
      <c r="P54" s="72" t="str">
        <f t="shared" si="47"/>
        <v>0x5D</v>
      </c>
      <c r="Q54" s="79"/>
      <c r="R54" s="80"/>
      <c r="S54" s="79"/>
      <c r="T54" s="79"/>
      <c r="U54" s="79"/>
      <c r="V54" s="81">
        <v>15.0</v>
      </c>
      <c r="W54" s="40" t="str">
        <f t="shared" ref="W54:AJ54" si="74">"0x" &amp; MID($B54,$V54  + 2*(COLUMN() - COLUMN($W54)), 2)</f>
        <v>0x58</v>
      </c>
      <c r="X54" s="40" t="str">
        <f t="shared" si="74"/>
        <v>0xF4</v>
      </c>
      <c r="Y54" s="40" t="str">
        <f t="shared" si="74"/>
        <v>0x48</v>
      </c>
      <c r="Z54" s="40" t="str">
        <f t="shared" si="74"/>
        <v>0x82</v>
      </c>
      <c r="AA54" s="40" t="str">
        <f t="shared" si="74"/>
        <v>0xD0</v>
      </c>
      <c r="AB54" s="40" t="str">
        <f t="shared" si="74"/>
        <v>0x65</v>
      </c>
      <c r="AC54" s="40" t="str">
        <f t="shared" si="74"/>
        <v>0x1C</v>
      </c>
      <c r="AD54" s="40" t="str">
        <f t="shared" si="74"/>
        <v>0xD1</v>
      </c>
      <c r="AE54" s="40" t="str">
        <f t="shared" si="74"/>
        <v>0x46</v>
      </c>
      <c r="AF54" s="40" t="str">
        <f t="shared" si="74"/>
        <v>0x02</v>
      </c>
      <c r="AG54" s="40" t="str">
        <f t="shared" si="74"/>
        <v>0xED</v>
      </c>
      <c r="AH54" s="40" t="str">
        <f t="shared" si="74"/>
        <v>0x30</v>
      </c>
      <c r="AI54" s="40" t="str">
        <f t="shared" si="74"/>
        <v>0x7B</v>
      </c>
      <c r="AJ54" s="40" t="str">
        <f t="shared" si="74"/>
        <v>0xFF</v>
      </c>
      <c r="AK54" s="40"/>
      <c r="AL54" s="40"/>
      <c r="AM54" s="40"/>
      <c r="AN54" s="64" t="str">
        <f t="shared" si="72"/>
        <v>0xB0</v>
      </c>
    </row>
    <row r="55">
      <c r="A55" s="51" t="str">
        <f>IFERROR(__xludf.DUMMYFUNCTION("LEFT(REGEXREPLACE($H55, ""(?i)^8301(E000|E100|E200|E300)?"", """"), 4)"),"E913")</f>
        <v>E913</v>
      </c>
      <c r="B55" s="52" t="str">
        <f>IFERROR(__xludf.DUMMYFUNCTION("REGEXREPLACE($H55, ""(?i)^8301(E000|E100|E200|E300)?"", """")"),"E913005F0F5D4F58F44882D06535D1460A01307BA1")</f>
        <v>E913005F0F5D4F58F44882D06535D1460A01307BA1</v>
      </c>
      <c r="C55" s="65" t="s">
        <v>25</v>
      </c>
      <c r="D55" s="65" t="s">
        <v>492</v>
      </c>
      <c r="E55" s="65" t="s">
        <v>106</v>
      </c>
      <c r="F55" s="65" t="s">
        <v>107</v>
      </c>
      <c r="G55" s="67">
        <v>46220.0</v>
      </c>
      <c r="H55" s="68" t="s">
        <v>420</v>
      </c>
      <c r="I55" s="65"/>
      <c r="J55" s="57" t="str">
        <f t="shared" si="2"/>
        <v>0x13</v>
      </c>
      <c r="K55" s="58" t="str">
        <f t="shared" si="3"/>
        <v>0x00</v>
      </c>
      <c r="L55" s="58" t="str">
        <f t="shared" si="4"/>
        <v>0x5F</v>
      </c>
      <c r="M55" s="82">
        <v>2.0</v>
      </c>
      <c r="N55" s="83" t="str">
        <f t="shared" si="45"/>
        <v>0x0F</v>
      </c>
      <c r="O55" s="84" t="str">
        <f t="shared" si="46"/>
        <v>0x5D</v>
      </c>
      <c r="P55" s="84" t="str">
        <f t="shared" si="47"/>
        <v>0x4F</v>
      </c>
      <c r="Q55" s="85"/>
      <c r="R55" s="86"/>
      <c r="S55" s="85"/>
      <c r="T55" s="85"/>
      <c r="U55" s="85"/>
      <c r="V55" s="87">
        <v>15.0</v>
      </c>
      <c r="W55" s="58" t="str">
        <f t="shared" ref="W55:AJ55" si="75">"0x" &amp; MID($B55,$V55  + 2*(COLUMN() - COLUMN($W55)), 2)</f>
        <v>0x58</v>
      </c>
      <c r="X55" s="58" t="str">
        <f t="shared" si="75"/>
        <v>0xF4</v>
      </c>
      <c r="Y55" s="58" t="str">
        <f t="shared" si="75"/>
        <v>0x48</v>
      </c>
      <c r="Z55" s="58" t="str">
        <f t="shared" si="75"/>
        <v>0x82</v>
      </c>
      <c r="AA55" s="58" t="str">
        <f t="shared" si="75"/>
        <v>0xD0</v>
      </c>
      <c r="AB55" s="58" t="str">
        <f t="shared" si="75"/>
        <v>0x65</v>
      </c>
      <c r="AC55" s="58" t="str">
        <f t="shared" si="75"/>
        <v>0x35</v>
      </c>
      <c r="AD55" s="58" t="str">
        <f t="shared" si="75"/>
        <v>0xD1</v>
      </c>
      <c r="AE55" s="58" t="str">
        <f t="shared" si="75"/>
        <v>0x46</v>
      </c>
      <c r="AF55" s="58" t="str">
        <f t="shared" si="75"/>
        <v>0x0A</v>
      </c>
      <c r="AG55" s="58" t="str">
        <f t="shared" si="75"/>
        <v>0x01</v>
      </c>
      <c r="AH55" s="58" t="str">
        <f t="shared" si="75"/>
        <v>0x30</v>
      </c>
      <c r="AI55" s="58" t="str">
        <f t="shared" si="75"/>
        <v>0x7B</v>
      </c>
      <c r="AJ55" s="58" t="str">
        <f t="shared" si="75"/>
        <v>0xA1</v>
      </c>
      <c r="AK55" s="58"/>
      <c r="AL55" s="58"/>
      <c r="AM55" s="58"/>
      <c r="AN55" s="88"/>
    </row>
    <row r="56">
      <c r="A56" s="33" t="str">
        <f>IFERROR(__xludf.DUMMYFUNCTION("LEFT(REGEXREPLACE($H56, ""(?i)^8301(E000|E100|E200|E300)?"", """"), 4)"),"E913")</f>
        <v>E913</v>
      </c>
      <c r="B56" s="34" t="str">
        <f>IFERROR(__xludf.DUMMYFUNCTION("REGEXREPLACE($H56, ""(?i)^8301(E000|E100|E200|E300)?"", """")"),"E913005F0F445C58F44882D06535D1462A01307BA1")</f>
        <v>E913005F0F445C58F44882D06535D1462A01307BA1</v>
      </c>
      <c r="C56" s="36" t="s">
        <v>25</v>
      </c>
      <c r="D56" s="36" t="s">
        <v>492</v>
      </c>
      <c r="E56" s="36" t="s">
        <v>106</v>
      </c>
      <c r="F56" s="36" t="s">
        <v>107</v>
      </c>
      <c r="G56" s="37">
        <v>46220.0</v>
      </c>
      <c r="H56" s="38" t="s">
        <v>418</v>
      </c>
      <c r="I56" s="36"/>
      <c r="J56" s="39" t="str">
        <f t="shared" si="2"/>
        <v>0x13</v>
      </c>
      <c r="K56" s="40" t="str">
        <f t="shared" si="3"/>
        <v>0x00</v>
      </c>
      <c r="L56" s="40" t="str">
        <f t="shared" si="4"/>
        <v>0x5F</v>
      </c>
      <c r="M56" s="77">
        <v>2.0</v>
      </c>
      <c r="N56" s="78" t="str">
        <f t="shared" si="45"/>
        <v>0x0F</v>
      </c>
      <c r="O56" s="72" t="str">
        <f t="shared" si="46"/>
        <v>0x44</v>
      </c>
      <c r="P56" s="72" t="str">
        <f t="shared" si="47"/>
        <v>0x5C</v>
      </c>
      <c r="Q56" s="79"/>
      <c r="R56" s="80"/>
      <c r="S56" s="79"/>
      <c r="T56" s="79"/>
      <c r="U56" s="79"/>
      <c r="V56" s="81">
        <v>15.0</v>
      </c>
      <c r="W56" s="40" t="str">
        <f t="shared" ref="W56:AJ56" si="76">"0x" &amp; MID($B56,$V56  + 2*(COLUMN() - COLUMN($W56)), 2)</f>
        <v>0x58</v>
      </c>
      <c r="X56" s="40" t="str">
        <f t="shared" si="76"/>
        <v>0xF4</v>
      </c>
      <c r="Y56" s="40" t="str">
        <f t="shared" si="76"/>
        <v>0x48</v>
      </c>
      <c r="Z56" s="40" t="str">
        <f t="shared" si="76"/>
        <v>0x82</v>
      </c>
      <c r="AA56" s="40" t="str">
        <f t="shared" si="76"/>
        <v>0xD0</v>
      </c>
      <c r="AB56" s="40" t="str">
        <f t="shared" si="76"/>
        <v>0x65</v>
      </c>
      <c r="AC56" s="40" t="str">
        <f t="shared" si="76"/>
        <v>0x35</v>
      </c>
      <c r="AD56" s="40" t="str">
        <f t="shared" si="76"/>
        <v>0xD1</v>
      </c>
      <c r="AE56" s="40" t="str">
        <f t="shared" si="76"/>
        <v>0x46</v>
      </c>
      <c r="AF56" s="40" t="str">
        <f t="shared" si="76"/>
        <v>0x2A</v>
      </c>
      <c r="AG56" s="40" t="str">
        <f t="shared" si="76"/>
        <v>0x01</v>
      </c>
      <c r="AH56" s="40" t="str">
        <f t="shared" si="76"/>
        <v>0x30</v>
      </c>
      <c r="AI56" s="40" t="str">
        <f t="shared" si="76"/>
        <v>0x7B</v>
      </c>
      <c r="AJ56" s="40" t="str">
        <f t="shared" si="76"/>
        <v>0xA1</v>
      </c>
      <c r="AK56" s="40"/>
      <c r="AL56" s="40"/>
      <c r="AM56" s="40"/>
      <c r="AN56" s="75"/>
    </row>
    <row r="57">
      <c r="A57" s="51" t="str">
        <f>IFERROR(__xludf.DUMMYFUNCTION("LEFT(REGEXREPLACE($H57, ""(?i)^8301(E000|E100|E200|E300)?"", """"), 4)"),"E913")</f>
        <v>E913</v>
      </c>
      <c r="B57" s="52" t="str">
        <f>IFERROR(__xludf.DUMMYFUNCTION("REGEXREPLACE($H57, ""(?i)^8301(E000|E100|E200|E300)?"", """")"),"E913005F0F445C58F44882D06535D1462A85307BA1")</f>
        <v>E913005F0F445C58F44882D06535D1462A85307BA1</v>
      </c>
      <c r="C57" s="65" t="s">
        <v>25</v>
      </c>
      <c r="D57" s="65" t="s">
        <v>492</v>
      </c>
      <c r="E57" s="65" t="s">
        <v>106</v>
      </c>
      <c r="F57" s="65" t="s">
        <v>107</v>
      </c>
      <c r="G57" s="67">
        <v>46220.0</v>
      </c>
      <c r="H57" s="68" t="s">
        <v>419</v>
      </c>
      <c r="I57" s="65"/>
      <c r="J57" s="57" t="str">
        <f t="shared" si="2"/>
        <v>0x13</v>
      </c>
      <c r="K57" s="58" t="str">
        <f t="shared" si="3"/>
        <v>0x00</v>
      </c>
      <c r="L57" s="58" t="str">
        <f t="shared" si="4"/>
        <v>0x5F</v>
      </c>
      <c r="M57" s="82">
        <v>2.0</v>
      </c>
      <c r="N57" s="83" t="str">
        <f t="shared" si="45"/>
        <v>0x0F</v>
      </c>
      <c r="O57" s="84" t="str">
        <f t="shared" si="46"/>
        <v>0x44</v>
      </c>
      <c r="P57" s="84" t="str">
        <f t="shared" si="47"/>
        <v>0x5C</v>
      </c>
      <c r="Q57" s="85"/>
      <c r="R57" s="86"/>
      <c r="S57" s="85"/>
      <c r="T57" s="85"/>
      <c r="U57" s="85"/>
      <c r="V57" s="87">
        <v>15.0</v>
      </c>
      <c r="W57" s="58" t="str">
        <f t="shared" ref="W57:AJ57" si="77">"0x" &amp; MID($B57,$V57  + 2*(COLUMN() - COLUMN($W57)), 2)</f>
        <v>0x58</v>
      </c>
      <c r="X57" s="58" t="str">
        <f t="shared" si="77"/>
        <v>0xF4</v>
      </c>
      <c r="Y57" s="58" t="str">
        <f t="shared" si="77"/>
        <v>0x48</v>
      </c>
      <c r="Z57" s="58" t="str">
        <f t="shared" si="77"/>
        <v>0x82</v>
      </c>
      <c r="AA57" s="58" t="str">
        <f t="shared" si="77"/>
        <v>0xD0</v>
      </c>
      <c r="AB57" s="58" t="str">
        <f t="shared" si="77"/>
        <v>0x65</v>
      </c>
      <c r="AC57" s="58" t="str">
        <f t="shared" si="77"/>
        <v>0x35</v>
      </c>
      <c r="AD57" s="58" t="str">
        <f t="shared" si="77"/>
        <v>0xD1</v>
      </c>
      <c r="AE57" s="58" t="str">
        <f t="shared" si="77"/>
        <v>0x46</v>
      </c>
      <c r="AF57" s="58" t="str">
        <f t="shared" si="77"/>
        <v>0x2A</v>
      </c>
      <c r="AG57" s="58" t="str">
        <f t="shared" si="77"/>
        <v>0x85</v>
      </c>
      <c r="AH57" s="58" t="str">
        <f t="shared" si="77"/>
        <v>0x30</v>
      </c>
      <c r="AI57" s="58" t="str">
        <f t="shared" si="77"/>
        <v>0x7B</v>
      </c>
      <c r="AJ57" s="58" t="str">
        <f t="shared" si="77"/>
        <v>0xA1</v>
      </c>
      <c r="AK57" s="58"/>
      <c r="AL57" s="58"/>
      <c r="AM57" s="58"/>
      <c r="AN57" s="88"/>
    </row>
    <row r="58">
      <c r="A58" s="33" t="str">
        <f>IFERROR(__xludf.DUMMYFUNCTION("LEFT(REGEXREPLACE($H58, ""(?i)^8301(E000|E100|E200|E300)?"", """"), 4)"),"E914")</f>
        <v>E914</v>
      </c>
      <c r="B58" s="34" t="str">
        <f>IFERROR(__xludf.DUMMYFUNCTION("REGEXREPLACE($H58, ""(?i)^8301(E000|E100|E200|E300)?"", """")"),"E91400550F515D58F44882D0653FD146051E307B00B0")</f>
        <v>E91400550F515D58F44882D0653FD146051E307B00B0</v>
      </c>
      <c r="C58" s="36" t="s">
        <v>25</v>
      </c>
      <c r="D58" s="36" t="s">
        <v>497</v>
      </c>
      <c r="E58" s="36" t="s">
        <v>217</v>
      </c>
      <c r="F58" s="36" t="s">
        <v>218</v>
      </c>
      <c r="G58" s="37">
        <v>46244.0</v>
      </c>
      <c r="H58" s="38" t="s">
        <v>466</v>
      </c>
      <c r="I58" s="36"/>
      <c r="J58" s="39" t="str">
        <f t="shared" si="2"/>
        <v>0x14</v>
      </c>
      <c r="K58" s="40" t="str">
        <f t="shared" si="3"/>
        <v>0x00</v>
      </c>
      <c r="L58" s="40" t="str">
        <f t="shared" si="4"/>
        <v>0x55</v>
      </c>
      <c r="M58" s="77">
        <v>2.0</v>
      </c>
      <c r="N58" s="78" t="str">
        <f t="shared" si="45"/>
        <v>0x0F</v>
      </c>
      <c r="O58" s="72" t="str">
        <f t="shared" si="46"/>
        <v>0x51</v>
      </c>
      <c r="P58" s="72" t="str">
        <f t="shared" si="47"/>
        <v>0x5D</v>
      </c>
      <c r="Q58" s="79"/>
      <c r="R58" s="80"/>
      <c r="S58" s="79"/>
      <c r="T58" s="79"/>
      <c r="U58" s="79"/>
      <c r="V58" s="81">
        <v>15.0</v>
      </c>
      <c r="W58" s="40" t="str">
        <f t="shared" ref="W58:AK58" si="78">"0x" &amp; MID($B58,$V58  + 2*(COLUMN() - COLUMN($W58)), 2)</f>
        <v>0x58</v>
      </c>
      <c r="X58" s="40" t="str">
        <f t="shared" si="78"/>
        <v>0xF4</v>
      </c>
      <c r="Y58" s="40" t="str">
        <f t="shared" si="78"/>
        <v>0x48</v>
      </c>
      <c r="Z58" s="40" t="str">
        <f t="shared" si="78"/>
        <v>0x82</v>
      </c>
      <c r="AA58" s="40" t="str">
        <f t="shared" si="78"/>
        <v>0xD0</v>
      </c>
      <c r="AB58" s="40" t="str">
        <f t="shared" si="78"/>
        <v>0x65</v>
      </c>
      <c r="AC58" s="40" t="str">
        <f t="shared" si="78"/>
        <v>0x3F</v>
      </c>
      <c r="AD58" s="40" t="str">
        <f t="shared" si="78"/>
        <v>0xD1</v>
      </c>
      <c r="AE58" s="40" t="str">
        <f t="shared" si="78"/>
        <v>0x46</v>
      </c>
      <c r="AF58" s="40" t="str">
        <f t="shared" si="78"/>
        <v>0x05</v>
      </c>
      <c r="AG58" s="40" t="str">
        <f t="shared" si="78"/>
        <v>0x1E</v>
      </c>
      <c r="AH58" s="40" t="str">
        <f t="shared" si="78"/>
        <v>0x30</v>
      </c>
      <c r="AI58" s="40" t="str">
        <f t="shared" si="78"/>
        <v>0x7B</v>
      </c>
      <c r="AJ58" s="40" t="str">
        <f t="shared" si="78"/>
        <v>0x00</v>
      </c>
      <c r="AK58" s="40" t="str">
        <f t="shared" si="78"/>
        <v>0xB0</v>
      </c>
      <c r="AL58" s="40"/>
      <c r="AM58" s="40"/>
      <c r="AN58" s="64" t="str">
        <f t="shared" ref="AN58:AN59" si="80">"0x"&amp;MID($B58,43,2)</f>
        <v>0xB0</v>
      </c>
    </row>
    <row r="59">
      <c r="A59" s="51" t="str">
        <f>IFERROR(__xludf.DUMMYFUNCTION("LEFT(REGEXREPLACE($H59, ""(?i)^8301(E000|E100|E200|E300)?"", """"), 4)"),"E914")</f>
        <v>E914</v>
      </c>
      <c r="B59" s="52" t="str">
        <f>IFERROR(__xludf.DUMMYFUNCTION("REGEXREPLACE($H59, ""(?i)^8301(E000|E100|E200|E300)?"", """")"),"E91400680F404358F44882D0653FD1462AF6307BA1B0")</f>
        <v>E91400680F404358F44882D0653FD1462AF6307BA1B0</v>
      </c>
      <c r="C59" s="65" t="s">
        <v>25</v>
      </c>
      <c r="D59" s="53"/>
      <c r="E59" s="65" t="s">
        <v>75</v>
      </c>
      <c r="F59" s="65" t="s">
        <v>120</v>
      </c>
      <c r="G59" s="67">
        <v>46219.0</v>
      </c>
      <c r="H59" s="68" t="s">
        <v>434</v>
      </c>
      <c r="I59" s="65"/>
      <c r="J59" s="57" t="str">
        <f t="shared" si="2"/>
        <v>0x14</v>
      </c>
      <c r="K59" s="58" t="str">
        <f t="shared" si="3"/>
        <v>0x00</v>
      </c>
      <c r="L59" s="58" t="str">
        <f t="shared" si="4"/>
        <v>0x68</v>
      </c>
      <c r="M59" s="82">
        <v>2.0</v>
      </c>
      <c r="N59" s="83" t="str">
        <f t="shared" si="45"/>
        <v>0x0F</v>
      </c>
      <c r="O59" s="84" t="str">
        <f t="shared" si="46"/>
        <v>0x40</v>
      </c>
      <c r="P59" s="84" t="str">
        <f t="shared" si="47"/>
        <v>0x43</v>
      </c>
      <c r="Q59" s="85"/>
      <c r="R59" s="86"/>
      <c r="S59" s="85"/>
      <c r="T59" s="85"/>
      <c r="U59" s="85"/>
      <c r="V59" s="87">
        <v>15.0</v>
      </c>
      <c r="W59" s="58" t="str">
        <f t="shared" ref="W59:AK59" si="79">"0x" &amp; MID($B59,$V59  + 2*(COLUMN() - COLUMN($W59)), 2)</f>
        <v>0x58</v>
      </c>
      <c r="X59" s="58" t="str">
        <f t="shared" si="79"/>
        <v>0xF4</v>
      </c>
      <c r="Y59" s="58" t="str">
        <f t="shared" si="79"/>
        <v>0x48</v>
      </c>
      <c r="Z59" s="58" t="str">
        <f t="shared" si="79"/>
        <v>0x82</v>
      </c>
      <c r="AA59" s="58" t="str">
        <f t="shared" si="79"/>
        <v>0xD0</v>
      </c>
      <c r="AB59" s="58" t="str">
        <f t="shared" si="79"/>
        <v>0x65</v>
      </c>
      <c r="AC59" s="58" t="str">
        <f t="shared" si="79"/>
        <v>0x3F</v>
      </c>
      <c r="AD59" s="58" t="str">
        <f t="shared" si="79"/>
        <v>0xD1</v>
      </c>
      <c r="AE59" s="58" t="str">
        <f t="shared" si="79"/>
        <v>0x46</v>
      </c>
      <c r="AF59" s="58" t="str">
        <f t="shared" si="79"/>
        <v>0x2A</v>
      </c>
      <c r="AG59" s="58" t="str">
        <f t="shared" si="79"/>
        <v>0xF6</v>
      </c>
      <c r="AH59" s="58" t="str">
        <f t="shared" si="79"/>
        <v>0x30</v>
      </c>
      <c r="AI59" s="58" t="str">
        <f t="shared" si="79"/>
        <v>0x7B</v>
      </c>
      <c r="AJ59" s="58" t="str">
        <f t="shared" si="79"/>
        <v>0xA1</v>
      </c>
      <c r="AK59" s="58" t="str">
        <f t="shared" si="79"/>
        <v>0xB0</v>
      </c>
      <c r="AL59" s="58"/>
      <c r="AM59" s="58"/>
      <c r="AN59" s="74" t="str">
        <f t="shared" si="80"/>
        <v>0xB0</v>
      </c>
    </row>
    <row r="60">
      <c r="A60" s="33" t="str">
        <f>IFERROR(__xludf.DUMMYFUNCTION("LEFT(REGEXREPLACE($H60, ""(?i)^8301(E000|E100|E200|E300)?"", """"), 4)"),"E911")</f>
        <v>E911</v>
      </c>
      <c r="B60" s="34" t="str">
        <f>IFERROR(__xludf.DUMMYFUNCTION("REGEXREPLACE($H60, ""(?i)^8301(E000|E100|E200|E300)?"", """")"),"E911008F0F5B5D58F44882D146052BD06538B0")</f>
        <v>E911008F0F5B5D58F44882D146052BD06538B0</v>
      </c>
      <c r="C60" s="36" t="s">
        <v>25</v>
      </c>
      <c r="D60" s="35"/>
      <c r="E60" s="41" t="s">
        <v>75</v>
      </c>
      <c r="F60" s="41" t="s">
        <v>76</v>
      </c>
      <c r="G60" s="43">
        <v>46235.0</v>
      </c>
      <c r="H60" s="44" t="s">
        <v>402</v>
      </c>
      <c r="I60" s="36"/>
      <c r="J60" s="39" t="str">
        <f t="shared" si="2"/>
        <v>0x11</v>
      </c>
      <c r="K60" s="40" t="str">
        <f t="shared" si="3"/>
        <v>0x00</v>
      </c>
      <c r="L60" s="40" t="str">
        <f t="shared" si="4"/>
        <v>0x8F</v>
      </c>
      <c r="M60" s="77">
        <v>2.0</v>
      </c>
      <c r="N60" s="78" t="str">
        <f t="shared" si="45"/>
        <v>0x0F</v>
      </c>
      <c r="O60" s="72" t="str">
        <f t="shared" si="46"/>
        <v>0x5B</v>
      </c>
      <c r="P60" s="72" t="str">
        <f t="shared" si="47"/>
        <v>0x5D</v>
      </c>
      <c r="Q60" s="79"/>
      <c r="R60" s="80"/>
      <c r="S60" s="79"/>
      <c r="T60" s="79"/>
      <c r="U60" s="79"/>
      <c r="V60" s="81">
        <v>15.0</v>
      </c>
      <c r="W60" s="40" t="str">
        <f t="shared" ref="W60:AG60" si="81">"0x" &amp; MID($B60,$V60  + 2*(COLUMN() - COLUMN($W60)), 2)</f>
        <v>0x58</v>
      </c>
      <c r="X60" s="40" t="str">
        <f t="shared" si="81"/>
        <v>0xF4</v>
      </c>
      <c r="Y60" s="40" t="str">
        <f t="shared" si="81"/>
        <v>0x48</v>
      </c>
      <c r="Z60" s="40" t="str">
        <f t="shared" si="81"/>
        <v>0x82</v>
      </c>
      <c r="AA60" s="40" t="str">
        <f t="shared" si="81"/>
        <v>0xD1</v>
      </c>
      <c r="AB60" s="40" t="str">
        <f t="shared" si="81"/>
        <v>0x46</v>
      </c>
      <c r="AC60" s="40" t="str">
        <f t="shared" si="81"/>
        <v>0x05</v>
      </c>
      <c r="AD60" s="40" t="str">
        <f t="shared" si="81"/>
        <v>0x2B</v>
      </c>
      <c r="AE60" s="40" t="str">
        <f t="shared" si="81"/>
        <v>0xD0</v>
      </c>
      <c r="AF60" s="40" t="str">
        <f t="shared" si="81"/>
        <v>0x65</v>
      </c>
      <c r="AG60" s="40" t="str">
        <f t="shared" si="81"/>
        <v>0x38</v>
      </c>
      <c r="AH60" s="40"/>
      <c r="AI60" s="40"/>
      <c r="AJ60" s="40"/>
      <c r="AK60" s="40"/>
      <c r="AL60" s="40"/>
      <c r="AM60" s="40"/>
      <c r="AN60" s="64" t="str">
        <f>"0x"&amp;MID($B60,37,2)</f>
        <v>0xB0</v>
      </c>
    </row>
    <row r="61">
      <c r="A61" s="51" t="str">
        <f>IFERROR(__xludf.DUMMYFUNCTION("LEFT(REGEXREPLACE($H61, ""(?i)^8301(E000|E100|E200|E300)?"", """"), 4)"),"E910")</f>
        <v>E910</v>
      </c>
      <c r="B61" s="52" t="str">
        <f>IFERROR(__xludf.DUMMYFUNCTION("REGEXREPLACE($H61, ""(?i)^8301(E000|E100|E200|E300)?"", """")"),"E910002A0F5D4058F44882D1460601D06543")</f>
        <v>E910002A0F5D4058F44882D1460601D06543</v>
      </c>
      <c r="C61" s="65" t="s">
        <v>25</v>
      </c>
      <c r="D61" s="65" t="s">
        <v>489</v>
      </c>
      <c r="E61" s="65" t="s">
        <v>106</v>
      </c>
      <c r="F61" s="65" t="s">
        <v>107</v>
      </c>
      <c r="G61" s="67">
        <v>46220.0</v>
      </c>
      <c r="H61" s="68" t="s">
        <v>344</v>
      </c>
      <c r="I61" s="65"/>
      <c r="J61" s="57" t="str">
        <f t="shared" si="2"/>
        <v>0x10</v>
      </c>
      <c r="K61" s="58" t="str">
        <f t="shared" si="3"/>
        <v>0x00</v>
      </c>
      <c r="L61" s="58" t="str">
        <f t="shared" si="4"/>
        <v>0x2A</v>
      </c>
      <c r="M61" s="59">
        <v>2.0</v>
      </c>
      <c r="N61" s="59" t="str">
        <f t="shared" si="45"/>
        <v>0x0F</v>
      </c>
      <c r="O61" s="71" t="str">
        <f t="shared" si="46"/>
        <v>0x5D</v>
      </c>
      <c r="P61" s="71" t="str">
        <f t="shared" si="47"/>
        <v>0x40</v>
      </c>
      <c r="Q61" s="71"/>
      <c r="R61" s="59"/>
      <c r="S61" s="71"/>
      <c r="T61" s="71"/>
      <c r="U61" s="71"/>
      <c r="V61" s="58">
        <v>15.0</v>
      </c>
      <c r="W61" s="58" t="str">
        <f t="shared" ref="W61:AG61" si="82">"0x" &amp; MID($B61,$V61  + 2*(COLUMN() - COLUMN($W61)), 2)</f>
        <v>0x58</v>
      </c>
      <c r="X61" s="58" t="str">
        <f t="shared" si="82"/>
        <v>0xF4</v>
      </c>
      <c r="Y61" s="58" t="str">
        <f t="shared" si="82"/>
        <v>0x48</v>
      </c>
      <c r="Z61" s="58" t="str">
        <f t="shared" si="82"/>
        <v>0x82</v>
      </c>
      <c r="AA61" s="58" t="str">
        <f t="shared" si="82"/>
        <v>0xD1</v>
      </c>
      <c r="AB61" s="58" t="str">
        <f t="shared" si="82"/>
        <v>0x46</v>
      </c>
      <c r="AC61" s="58" t="str">
        <f t="shared" si="82"/>
        <v>0x06</v>
      </c>
      <c r="AD61" s="58" t="str">
        <f t="shared" si="82"/>
        <v>0x01</v>
      </c>
      <c r="AE61" s="58" t="str">
        <f t="shared" si="82"/>
        <v>0xD0</v>
      </c>
      <c r="AF61" s="58" t="str">
        <f t="shared" si="82"/>
        <v>0x65</v>
      </c>
      <c r="AG61" s="58" t="str">
        <f t="shared" si="82"/>
        <v>0x43</v>
      </c>
      <c r="AH61" s="58"/>
      <c r="AI61" s="58"/>
      <c r="AJ61" s="58"/>
      <c r="AK61" s="58"/>
      <c r="AL61" s="58"/>
      <c r="AM61" s="58"/>
      <c r="AN61" s="88"/>
    </row>
    <row r="62">
      <c r="A62" s="33" t="str">
        <f>IFERROR(__xludf.DUMMYFUNCTION("LEFT(REGEXREPLACE($H62, ""(?i)^8301(E000|E100|E200|E300)?"", """"), 4)"),"E910")</f>
        <v>E910</v>
      </c>
      <c r="B62" s="34" t="str">
        <f>IFERROR(__xludf.DUMMYFUNCTION("REGEXREPLACE($H62, ""(?i)^8301(E000|E100|E200|E300)?"", """")"),"E910000F0F545D58F44882D146090AD06528")</f>
        <v>E910000F0F545D58F44882D146090AD06528</v>
      </c>
      <c r="C62" s="36" t="s">
        <v>25</v>
      </c>
      <c r="D62" s="36" t="s">
        <v>486</v>
      </c>
      <c r="E62" s="36" t="s">
        <v>129</v>
      </c>
      <c r="F62" s="41" t="s">
        <v>130</v>
      </c>
      <c r="G62" s="37">
        <v>46240.0</v>
      </c>
      <c r="H62" s="44" t="s">
        <v>353</v>
      </c>
      <c r="I62" s="36"/>
      <c r="J62" s="39" t="str">
        <f t="shared" si="2"/>
        <v>0x10</v>
      </c>
      <c r="K62" s="40" t="str">
        <f t="shared" si="3"/>
        <v>0x00</v>
      </c>
      <c r="L62" s="40" t="str">
        <f t="shared" si="4"/>
        <v>0x0F</v>
      </c>
      <c r="M62" s="42">
        <v>2.0</v>
      </c>
      <c r="N62" s="42" t="str">
        <f t="shared" si="45"/>
        <v>0x0F</v>
      </c>
      <c r="O62" s="48" t="str">
        <f t="shared" si="46"/>
        <v>0x54</v>
      </c>
      <c r="P62" s="48" t="str">
        <f t="shared" si="47"/>
        <v>0x5D</v>
      </c>
      <c r="Q62" s="48"/>
      <c r="R62" s="42"/>
      <c r="S62" s="48"/>
      <c r="T62" s="48"/>
      <c r="U62" s="48"/>
      <c r="V62" s="40">
        <v>15.0</v>
      </c>
      <c r="W62" s="40" t="str">
        <f t="shared" ref="W62:AG62" si="83">"0x" &amp; MID($B62,$V62  + 2*(COLUMN() - COLUMN($W62)), 2)</f>
        <v>0x58</v>
      </c>
      <c r="X62" s="40" t="str">
        <f t="shared" si="83"/>
        <v>0xF4</v>
      </c>
      <c r="Y62" s="40" t="str">
        <f t="shared" si="83"/>
        <v>0x48</v>
      </c>
      <c r="Z62" s="40" t="str">
        <f t="shared" si="83"/>
        <v>0x82</v>
      </c>
      <c r="AA62" s="40" t="str">
        <f t="shared" si="83"/>
        <v>0xD1</v>
      </c>
      <c r="AB62" s="40" t="str">
        <f t="shared" si="83"/>
        <v>0x46</v>
      </c>
      <c r="AC62" s="40" t="str">
        <f t="shared" si="83"/>
        <v>0x09</v>
      </c>
      <c r="AD62" s="40" t="str">
        <f t="shared" si="83"/>
        <v>0x0A</v>
      </c>
      <c r="AE62" s="40" t="str">
        <f t="shared" si="83"/>
        <v>0xD0</v>
      </c>
      <c r="AF62" s="40" t="str">
        <f t="shared" si="83"/>
        <v>0x65</v>
      </c>
      <c r="AG62" s="40" t="str">
        <f t="shared" si="83"/>
        <v>0x28</v>
      </c>
      <c r="AH62" s="40"/>
      <c r="AI62" s="40"/>
      <c r="AJ62" s="40"/>
      <c r="AK62" s="40"/>
      <c r="AL62" s="40"/>
      <c r="AM62" s="40"/>
      <c r="AN62" s="75"/>
    </row>
    <row r="63">
      <c r="A63" s="51" t="str">
        <f>IFERROR(__xludf.DUMMYFUNCTION("LEFT(REGEXREPLACE($H63, ""(?i)^8301(E000|E100|E200|E300)?"", """"), 4)"),"E90F")</f>
        <v>E90F</v>
      </c>
      <c r="B63" s="52" t="str">
        <f>IFERROR(__xludf.DUMMYFUNCTION("REGEXREPLACE($H63, ""(?i)^8301(E000|E100|E200|E300)?"", """")"),"E90F00010F5D5B5803488DD246020300B0")</f>
        <v>E90F00010F5D5B5803488DD246020300B0</v>
      </c>
      <c r="C63" s="65" t="s">
        <v>30</v>
      </c>
      <c r="D63" s="65" t="s">
        <v>511</v>
      </c>
      <c r="E63" s="65" t="s">
        <v>106</v>
      </c>
      <c r="F63" s="65" t="s">
        <v>175</v>
      </c>
      <c r="G63" s="67">
        <v>46220.0</v>
      </c>
      <c r="H63" s="68" t="s">
        <v>325</v>
      </c>
      <c r="I63" s="65"/>
      <c r="J63" s="57" t="str">
        <f t="shared" si="2"/>
        <v>0x0F</v>
      </c>
      <c r="K63" s="58" t="str">
        <f t="shared" si="3"/>
        <v>0x00</v>
      </c>
      <c r="L63" s="58" t="str">
        <f t="shared" si="4"/>
        <v>0x01</v>
      </c>
      <c r="M63" s="59">
        <v>2.0</v>
      </c>
      <c r="N63" s="59" t="str">
        <f t="shared" si="45"/>
        <v>0x0F</v>
      </c>
      <c r="O63" s="71" t="str">
        <f t="shared" si="46"/>
        <v>0x5D</v>
      </c>
      <c r="P63" s="71" t="str">
        <f t="shared" si="47"/>
        <v>0x5B</v>
      </c>
      <c r="Q63" s="71"/>
      <c r="R63" s="59"/>
      <c r="S63" s="71"/>
      <c r="T63" s="71"/>
      <c r="U63" s="71"/>
      <c r="V63" s="58">
        <v>15.0</v>
      </c>
      <c r="W63" s="58" t="str">
        <f t="shared" ref="W63:AE63" si="84">"0x" &amp; MID($B63,$V63  + 2*(COLUMN() - COLUMN($W63)), 2)</f>
        <v>0x58</v>
      </c>
      <c r="X63" s="58" t="str">
        <f t="shared" si="84"/>
        <v>0x03</v>
      </c>
      <c r="Y63" s="58" t="str">
        <f t="shared" si="84"/>
        <v>0x48</v>
      </c>
      <c r="Z63" s="58" t="str">
        <f t="shared" si="84"/>
        <v>0x8D</v>
      </c>
      <c r="AA63" s="58" t="str">
        <f t="shared" si="84"/>
        <v>0xD2</v>
      </c>
      <c r="AB63" s="58" t="str">
        <f t="shared" si="84"/>
        <v>0x46</v>
      </c>
      <c r="AC63" s="58" t="str">
        <f t="shared" si="84"/>
        <v>0x02</v>
      </c>
      <c r="AD63" s="58" t="str">
        <f t="shared" si="84"/>
        <v>0x03</v>
      </c>
      <c r="AE63" s="58" t="str">
        <f t="shared" si="84"/>
        <v>0x00</v>
      </c>
      <c r="AF63" s="58"/>
      <c r="AG63" s="58"/>
      <c r="AH63" s="58"/>
      <c r="AI63" s="58"/>
      <c r="AJ63" s="58"/>
      <c r="AK63" s="58"/>
      <c r="AL63" s="58"/>
      <c r="AM63" s="58"/>
      <c r="AN63" s="88" t="str">
        <f t="shared" ref="AN63:AN64" si="86">"0x"&amp;MID($B63,33,2)</f>
        <v>0xB0</v>
      </c>
    </row>
    <row r="64">
      <c r="A64" s="33" t="str">
        <f>IFERROR(__xludf.DUMMYFUNCTION("LEFT(REGEXREPLACE($H64, ""(?i)^8301(E000|E100|E200|E300)?"", """"), 4)"),"E90F")</f>
        <v>E90F</v>
      </c>
      <c r="B64" s="34" t="str">
        <f>IFERROR(__xludf.DUMMYFUNCTION("REGEXREPLACE($H64, ""(?i)^8301(E000|E100|E200|E300)?"", """")"),"E90F004F0F4F41580F488DD246020F55B0")</f>
        <v>E90F004F0F4F41580F488DD246020F55B0</v>
      </c>
      <c r="C64" s="36" t="s">
        <v>18</v>
      </c>
      <c r="D64" s="36" t="s">
        <v>513</v>
      </c>
      <c r="E64" s="36" t="s">
        <v>217</v>
      </c>
      <c r="F64" s="36" t="s">
        <v>218</v>
      </c>
      <c r="G64" s="37">
        <v>46244.0</v>
      </c>
      <c r="H64" s="38" t="s">
        <v>456</v>
      </c>
      <c r="I64" s="36"/>
      <c r="J64" s="39" t="str">
        <f t="shared" si="2"/>
        <v>0x0F</v>
      </c>
      <c r="K64" s="40" t="str">
        <f t="shared" si="3"/>
        <v>0x00</v>
      </c>
      <c r="L64" s="40" t="str">
        <f t="shared" si="4"/>
        <v>0x4F</v>
      </c>
      <c r="M64" s="42">
        <v>2.0</v>
      </c>
      <c r="N64" s="42" t="str">
        <f t="shared" si="45"/>
        <v>0x0F</v>
      </c>
      <c r="O64" s="48" t="str">
        <f t="shared" si="46"/>
        <v>0x4F</v>
      </c>
      <c r="P64" s="48" t="str">
        <f t="shared" si="47"/>
        <v>0x41</v>
      </c>
      <c r="Q64" s="48"/>
      <c r="R64" s="42"/>
      <c r="S64" s="48"/>
      <c r="T64" s="48"/>
      <c r="U64" s="48"/>
      <c r="V64" s="40">
        <v>15.0</v>
      </c>
      <c r="W64" s="40" t="str">
        <f t="shared" ref="W64:AE64" si="85">"0x" &amp; MID($B64,$V64  + 2*(COLUMN() - COLUMN($W64)), 2)</f>
        <v>0x58</v>
      </c>
      <c r="X64" s="40" t="str">
        <f t="shared" si="85"/>
        <v>0x0F</v>
      </c>
      <c r="Y64" s="40" t="str">
        <f t="shared" si="85"/>
        <v>0x48</v>
      </c>
      <c r="Z64" s="40" t="str">
        <f t="shared" si="85"/>
        <v>0x8D</v>
      </c>
      <c r="AA64" s="40" t="str">
        <f t="shared" si="85"/>
        <v>0xD2</v>
      </c>
      <c r="AB64" s="40" t="str">
        <f t="shared" si="85"/>
        <v>0x46</v>
      </c>
      <c r="AC64" s="40" t="str">
        <f t="shared" si="85"/>
        <v>0x02</v>
      </c>
      <c r="AD64" s="40" t="str">
        <f t="shared" si="85"/>
        <v>0x0F</v>
      </c>
      <c r="AE64" s="40" t="str">
        <f t="shared" si="85"/>
        <v>0x55</v>
      </c>
      <c r="AF64" s="40"/>
      <c r="AG64" s="40"/>
      <c r="AH64" s="40"/>
      <c r="AI64" s="40"/>
      <c r="AJ64" s="40"/>
      <c r="AK64" s="40"/>
      <c r="AL64" s="40"/>
      <c r="AM64" s="40"/>
      <c r="AN64" s="75" t="str">
        <f t="shared" si="86"/>
        <v>0xB0</v>
      </c>
    </row>
    <row r="65">
      <c r="A65" s="51" t="str">
        <f>IFERROR(__xludf.DUMMYFUNCTION("LEFT(REGEXREPLACE($H65, ""(?i)^8301(E000|E100|E200|E300)?"", """"), 4)"),"E913")</f>
        <v>E913</v>
      </c>
      <c r="B65" s="52" t="str">
        <f>IFERROR(__xludf.DUMMYFUNCTION("REGEXREPLACE($H65, ""(?i)^8301(E000|E100|E200|E300)?"", """")"),"E91300B60F404458F44882D06519D146060A307BFF")</f>
        <v>E91300B60F404458F44882D06519D146060A307BFF</v>
      </c>
      <c r="C65" s="65" t="s">
        <v>60</v>
      </c>
      <c r="D65" s="65" t="s">
        <v>515</v>
      </c>
      <c r="E65" s="65" t="s">
        <v>129</v>
      </c>
      <c r="F65" s="65" t="s">
        <v>130</v>
      </c>
      <c r="G65" s="67">
        <v>46251.0</v>
      </c>
      <c r="H65" s="56" t="s">
        <v>471</v>
      </c>
      <c r="I65" s="53"/>
      <c r="J65" s="57" t="str">
        <f t="shared" si="2"/>
        <v>0x13</v>
      </c>
      <c r="K65" s="58" t="str">
        <f t="shared" si="3"/>
        <v>0x00</v>
      </c>
      <c r="L65" s="58" t="str">
        <f t="shared" si="4"/>
        <v>0xB6</v>
      </c>
      <c r="M65" s="82">
        <v>2.0</v>
      </c>
      <c r="N65" s="83" t="str">
        <f t="shared" si="45"/>
        <v>0x0F</v>
      </c>
      <c r="O65" s="84" t="str">
        <f t="shared" si="46"/>
        <v>0x40</v>
      </c>
      <c r="P65" s="84" t="str">
        <f t="shared" si="47"/>
        <v>0x44</v>
      </c>
      <c r="Q65" s="85"/>
      <c r="R65" s="86"/>
      <c r="S65" s="85"/>
      <c r="T65" s="85"/>
      <c r="U65" s="85"/>
      <c r="V65" s="87">
        <v>15.0</v>
      </c>
      <c r="W65" s="58" t="str">
        <f t="shared" ref="W65:AJ65" si="87">"0x" &amp; MID($B65,$V65  + 2*(COLUMN() - COLUMN($W65)), 2)</f>
        <v>0x58</v>
      </c>
      <c r="X65" s="58" t="str">
        <f t="shared" si="87"/>
        <v>0xF4</v>
      </c>
      <c r="Y65" s="58" t="str">
        <f t="shared" si="87"/>
        <v>0x48</v>
      </c>
      <c r="Z65" s="58" t="str">
        <f t="shared" si="87"/>
        <v>0x82</v>
      </c>
      <c r="AA65" s="58" t="str">
        <f t="shared" si="87"/>
        <v>0xD0</v>
      </c>
      <c r="AB65" s="58" t="str">
        <f t="shared" si="87"/>
        <v>0x65</v>
      </c>
      <c r="AC65" s="58" t="str">
        <f t="shared" si="87"/>
        <v>0x19</v>
      </c>
      <c r="AD65" s="58" t="str">
        <f t="shared" si="87"/>
        <v>0xD1</v>
      </c>
      <c r="AE65" s="58" t="str">
        <f t="shared" si="87"/>
        <v>0x46</v>
      </c>
      <c r="AF65" s="58" t="str">
        <f t="shared" si="87"/>
        <v>0x06</v>
      </c>
      <c r="AG65" s="58" t="str">
        <f t="shared" si="87"/>
        <v>0x0A</v>
      </c>
      <c r="AH65" s="58" t="str">
        <f t="shared" si="87"/>
        <v>0x30</v>
      </c>
      <c r="AI65" s="58" t="str">
        <f t="shared" si="87"/>
        <v>0x7B</v>
      </c>
      <c r="AJ65" s="58" t="str">
        <f t="shared" si="87"/>
        <v>0xFF</v>
      </c>
      <c r="AK65" s="58"/>
      <c r="AL65" s="58"/>
      <c r="AM65" s="58"/>
      <c r="AN65" s="88"/>
    </row>
    <row r="66">
      <c r="A66" s="33" t="str">
        <f>IFERROR(__xludf.DUMMYFUNCTION("LEFT(REGEXREPLACE($H66, ""(?i)^8301(E000|E100|E200|E300)?"", """"), 4)"),"E911")</f>
        <v>E911</v>
      </c>
      <c r="B66" s="34" t="str">
        <f>IFERROR(__xludf.DUMMYFUNCTION("REGEXREPLACE($H66, ""(?i)^8301(E000|E100|E200|E300)?"", """")"),"E911008F0F535C58F44882D1460207D06558B0")</f>
        <v>E911008F0F535C58F44882D1460207D06558B0</v>
      </c>
      <c r="C66" s="36" t="s">
        <v>60</v>
      </c>
      <c r="D66" s="36" t="s">
        <v>516</v>
      </c>
      <c r="E66" s="36" t="s">
        <v>75</v>
      </c>
      <c r="F66" s="36" t="s">
        <v>76</v>
      </c>
      <c r="G66" s="37">
        <v>46208.0</v>
      </c>
      <c r="H66" s="38" t="s">
        <v>387</v>
      </c>
      <c r="I66" s="36"/>
      <c r="J66" s="39" t="str">
        <f t="shared" si="2"/>
        <v>0x11</v>
      </c>
      <c r="K66" s="40" t="str">
        <f t="shared" si="3"/>
        <v>0x00</v>
      </c>
      <c r="L66" s="40" t="str">
        <f t="shared" si="4"/>
        <v>0x8F</v>
      </c>
      <c r="M66" s="77">
        <v>2.0</v>
      </c>
      <c r="N66" s="78" t="str">
        <f t="shared" si="45"/>
        <v>0x0F</v>
      </c>
      <c r="O66" s="72" t="str">
        <f t="shared" si="46"/>
        <v>0x53</v>
      </c>
      <c r="P66" s="72" t="str">
        <f t="shared" si="47"/>
        <v>0x5C</v>
      </c>
      <c r="Q66" s="79"/>
      <c r="R66" s="80"/>
      <c r="S66" s="79"/>
      <c r="T66" s="79"/>
      <c r="U66" s="79"/>
      <c r="V66" s="81">
        <v>15.0</v>
      </c>
      <c r="W66" s="40" t="str">
        <f t="shared" ref="W66:AG66" si="88">"0x" &amp; MID($B66,$V66  + 2*(COLUMN() - COLUMN($W66)), 2)</f>
        <v>0x58</v>
      </c>
      <c r="X66" s="40" t="str">
        <f t="shared" si="88"/>
        <v>0xF4</v>
      </c>
      <c r="Y66" s="40" t="str">
        <f t="shared" si="88"/>
        <v>0x48</v>
      </c>
      <c r="Z66" s="40" t="str">
        <f t="shared" si="88"/>
        <v>0x82</v>
      </c>
      <c r="AA66" s="40" t="str">
        <f t="shared" si="88"/>
        <v>0xD1</v>
      </c>
      <c r="AB66" s="40" t="str">
        <f t="shared" si="88"/>
        <v>0x46</v>
      </c>
      <c r="AC66" s="40" t="str">
        <f t="shared" si="88"/>
        <v>0x02</v>
      </c>
      <c r="AD66" s="40" t="str">
        <f t="shared" si="88"/>
        <v>0x07</v>
      </c>
      <c r="AE66" s="40" t="str">
        <f t="shared" si="88"/>
        <v>0xD0</v>
      </c>
      <c r="AF66" s="40" t="str">
        <f t="shared" si="88"/>
        <v>0x65</v>
      </c>
      <c r="AG66" s="40" t="str">
        <f t="shared" si="88"/>
        <v>0x58</v>
      </c>
      <c r="AH66" s="40"/>
      <c r="AI66" s="40"/>
      <c r="AJ66" s="40"/>
      <c r="AK66" s="40"/>
      <c r="AL66" s="40"/>
      <c r="AM66" s="40"/>
      <c r="AN66" s="64" t="str">
        <f t="shared" ref="AN66:AN67" si="90">"0x"&amp;MID($B66,37,2)</f>
        <v>0xB0</v>
      </c>
    </row>
    <row r="67">
      <c r="A67" s="51" t="str">
        <f>IFERROR(__xludf.DUMMYFUNCTION("LEFT(REGEXREPLACE($H67, ""(?i)^8301(E000|E100|E200|E300)?"", """"), 4)"),"E911")</f>
        <v>E911</v>
      </c>
      <c r="B67" s="52" t="str">
        <f>IFERROR(__xludf.DUMMYFUNCTION("REGEXREPLACE($H67, ""(?i)^8301(E000|E100|E200|E300)?"", """")"),"E911008F0F594258F44882D146020DD06558B0")</f>
        <v>E911008F0F594258F44882D146020DD06558B0</v>
      </c>
      <c r="C67" s="65" t="s">
        <v>60</v>
      </c>
      <c r="D67" s="65" t="s">
        <v>516</v>
      </c>
      <c r="E67" s="54" t="s">
        <v>75</v>
      </c>
      <c r="F67" s="54" t="s">
        <v>76</v>
      </c>
      <c r="G67" s="55">
        <v>46235.0</v>
      </c>
      <c r="H67" s="56" t="s">
        <v>388</v>
      </c>
      <c r="I67" s="65"/>
      <c r="J67" s="57" t="str">
        <f t="shared" si="2"/>
        <v>0x11</v>
      </c>
      <c r="K67" s="58" t="str">
        <f t="shared" si="3"/>
        <v>0x00</v>
      </c>
      <c r="L67" s="58" t="str">
        <f t="shared" si="4"/>
        <v>0x8F</v>
      </c>
      <c r="M67" s="82">
        <v>2.0</v>
      </c>
      <c r="N67" s="83" t="str">
        <f t="shared" si="45"/>
        <v>0x0F</v>
      </c>
      <c r="O67" s="84" t="str">
        <f t="shared" si="46"/>
        <v>0x59</v>
      </c>
      <c r="P67" s="84" t="str">
        <f t="shared" si="47"/>
        <v>0x42</v>
      </c>
      <c r="Q67" s="85"/>
      <c r="R67" s="86"/>
      <c r="S67" s="85"/>
      <c r="T67" s="85"/>
      <c r="U67" s="85"/>
      <c r="V67" s="87">
        <v>15.0</v>
      </c>
      <c r="W67" s="58" t="str">
        <f t="shared" ref="W67:AG67" si="89">"0x" &amp; MID($B67,$V67  + 2*(COLUMN() - COLUMN($W67)), 2)</f>
        <v>0x58</v>
      </c>
      <c r="X67" s="58" t="str">
        <f t="shared" si="89"/>
        <v>0xF4</v>
      </c>
      <c r="Y67" s="58" t="str">
        <f t="shared" si="89"/>
        <v>0x48</v>
      </c>
      <c r="Z67" s="58" t="str">
        <f t="shared" si="89"/>
        <v>0x82</v>
      </c>
      <c r="AA67" s="58" t="str">
        <f t="shared" si="89"/>
        <v>0xD1</v>
      </c>
      <c r="AB67" s="58" t="str">
        <f t="shared" si="89"/>
        <v>0x46</v>
      </c>
      <c r="AC67" s="58" t="str">
        <f t="shared" si="89"/>
        <v>0x02</v>
      </c>
      <c r="AD67" s="58" t="str">
        <f t="shared" si="89"/>
        <v>0x0D</v>
      </c>
      <c r="AE67" s="58" t="str">
        <f t="shared" si="89"/>
        <v>0xD0</v>
      </c>
      <c r="AF67" s="58" t="str">
        <f t="shared" si="89"/>
        <v>0x65</v>
      </c>
      <c r="AG67" s="58" t="str">
        <f t="shared" si="89"/>
        <v>0x58</v>
      </c>
      <c r="AH67" s="58"/>
      <c r="AI67" s="58"/>
      <c r="AJ67" s="58"/>
      <c r="AK67" s="58"/>
      <c r="AL67" s="58"/>
      <c r="AM67" s="58"/>
      <c r="AN67" s="74" t="str">
        <f t="shared" si="90"/>
        <v>0xB0</v>
      </c>
    </row>
    <row r="68">
      <c r="A68" s="33" t="str">
        <f>IFERROR(__xludf.DUMMYFUNCTION("LEFT(REGEXREPLACE($H68, ""(?i)^8301(E000|E100|E200|E300)?"", """"), 4)"),"E90E")</f>
        <v>E90E</v>
      </c>
      <c r="B68" s="34" t="str">
        <f>IFERROR(__xludf.DUMMYFUNCTION("REGEXREPLACE($H68, ""(?i)^8301(E000|E100|E200|E300)?"", """")"),"E90E00120FBBB5A4B5A4590A0148AEB0")</f>
        <v>E90E00120FBBB5A4B5A4590A0148AEB0</v>
      </c>
      <c r="C68" s="36" t="s">
        <v>30</v>
      </c>
      <c r="D68" s="36" t="s">
        <v>503</v>
      </c>
      <c r="E68" s="36" t="s">
        <v>75</v>
      </c>
      <c r="F68" s="36" t="s">
        <v>143</v>
      </c>
      <c r="G68" s="37">
        <v>46208.0</v>
      </c>
      <c r="H68" s="38" t="s">
        <v>301</v>
      </c>
      <c r="I68" s="35"/>
      <c r="J68" s="39" t="str">
        <f t="shared" si="2"/>
        <v>0x0E</v>
      </c>
      <c r="K68" s="40" t="str">
        <f t="shared" si="3"/>
        <v>0x00</v>
      </c>
      <c r="L68" s="40" t="str">
        <f t="shared" si="4"/>
        <v>0x12</v>
      </c>
      <c r="M68" s="42">
        <v>5.0</v>
      </c>
      <c r="N68" s="42" t="str">
        <f t="shared" si="45"/>
        <v>0x0F</v>
      </c>
      <c r="O68" s="48" t="str">
        <f t="shared" si="46"/>
        <v>0xBB</v>
      </c>
      <c r="P68" s="48" t="str">
        <f t="shared" si="47"/>
        <v>0xB5</v>
      </c>
      <c r="Q68" s="48" t="str">
        <f t="shared" ref="Q68:Q72" si="92">"0x"&amp;MID($B68,15,2)</f>
        <v>0xA4</v>
      </c>
      <c r="R68" s="42"/>
      <c r="S68" s="48" t="str">
        <f t="shared" ref="S68:S72" si="93">"0x"&amp;MID($B68,17,2)</f>
        <v>0xB5</v>
      </c>
      <c r="T68" s="48" t="str">
        <f t="shared" ref="T68:T72" si="94">"0x"&amp;MID($B68,19,2)</f>
        <v>0xA4</v>
      </c>
      <c r="U68" s="48"/>
      <c r="V68" s="40">
        <v>21.0</v>
      </c>
      <c r="W68" s="40" t="str">
        <f t="shared" ref="W68:AA68" si="91">"0x" &amp; MID($B68,$V68  + 2*(COLUMN() - COLUMN($W68)), 2)</f>
        <v>0x59</v>
      </c>
      <c r="X68" s="40" t="str">
        <f t="shared" si="91"/>
        <v>0x0A</v>
      </c>
      <c r="Y68" s="40" t="str">
        <f t="shared" si="91"/>
        <v>0x01</v>
      </c>
      <c r="Z68" s="40" t="str">
        <f t="shared" si="91"/>
        <v>0x48</v>
      </c>
      <c r="AA68" s="40" t="str">
        <f t="shared" si="91"/>
        <v>0xAE</v>
      </c>
      <c r="AB68" s="40"/>
      <c r="AC68" s="40"/>
      <c r="AD68" s="40"/>
      <c r="AE68" s="40"/>
      <c r="AF68" s="40"/>
      <c r="AG68" s="40"/>
      <c r="AH68" s="40"/>
      <c r="AI68" s="40"/>
      <c r="AJ68" s="40"/>
      <c r="AK68" s="40"/>
      <c r="AL68" s="40"/>
      <c r="AM68" s="40"/>
      <c r="AN68" s="75" t="str">
        <f>"0x"&amp;MID($B68,31,2)</f>
        <v>0xB0</v>
      </c>
    </row>
    <row r="69">
      <c r="A69" s="51" t="str">
        <f>IFERROR(__xludf.DUMMYFUNCTION("LEFT(REGEXREPLACE($H69, ""(?i)^8301(E000|E100|E200|E300)?"", """"), 4)"),"E90D")</f>
        <v>E90D</v>
      </c>
      <c r="B69" s="52" t="str">
        <f>IFERROR(__xludf.DUMMYFUNCTION("REGEXREPLACE($H69, ""(?i)^8301(E000|E100|E200|E300)?"", """")"),"E90D00120FBCA4B5A4B5590FFB48AE")</f>
        <v>E90D00120FBCA4B5A4B5590FFB48AE</v>
      </c>
      <c r="C69" s="65" t="s">
        <v>30</v>
      </c>
      <c r="D69" s="65" t="s">
        <v>503</v>
      </c>
      <c r="E69" s="65" t="s">
        <v>106</v>
      </c>
      <c r="F69" s="65" t="s">
        <v>107</v>
      </c>
      <c r="G69" s="67">
        <v>46220.0</v>
      </c>
      <c r="H69" s="68" t="s">
        <v>260</v>
      </c>
      <c r="I69" s="53"/>
      <c r="J69" s="57" t="str">
        <f t="shared" si="2"/>
        <v>0x0D</v>
      </c>
      <c r="K69" s="58" t="str">
        <f t="shared" si="3"/>
        <v>0x00</v>
      </c>
      <c r="L69" s="58" t="str">
        <f t="shared" si="4"/>
        <v>0x12</v>
      </c>
      <c r="M69" s="59">
        <v>5.0</v>
      </c>
      <c r="N69" s="59" t="str">
        <f t="shared" si="45"/>
        <v>0x0F</v>
      </c>
      <c r="O69" s="71" t="str">
        <f t="shared" si="46"/>
        <v>0xBC</v>
      </c>
      <c r="P69" s="71" t="str">
        <f t="shared" si="47"/>
        <v>0xA4</v>
      </c>
      <c r="Q69" s="71" t="str">
        <f t="shared" si="92"/>
        <v>0xB5</v>
      </c>
      <c r="R69" s="59"/>
      <c r="S69" s="71" t="str">
        <f t="shared" si="93"/>
        <v>0xA4</v>
      </c>
      <c r="T69" s="71" t="str">
        <f t="shared" si="94"/>
        <v>0xB5</v>
      </c>
      <c r="U69" s="71"/>
      <c r="V69" s="58">
        <v>21.0</v>
      </c>
      <c r="W69" s="58" t="str">
        <f t="shared" ref="W69:AA69" si="95">"0x" &amp; MID($B69,$V69  + 2*(COLUMN() - COLUMN($W69)), 2)</f>
        <v>0x59</v>
      </c>
      <c r="X69" s="58" t="str">
        <f t="shared" si="95"/>
        <v>0x0F</v>
      </c>
      <c r="Y69" s="58" t="str">
        <f t="shared" si="95"/>
        <v>0xFB</v>
      </c>
      <c r="Z69" s="58" t="str">
        <f t="shared" si="95"/>
        <v>0x48</v>
      </c>
      <c r="AA69" s="58" t="str">
        <f t="shared" si="95"/>
        <v>0xAE</v>
      </c>
      <c r="AB69" s="58"/>
      <c r="AC69" s="58"/>
      <c r="AD69" s="58"/>
      <c r="AE69" s="58"/>
      <c r="AF69" s="58"/>
      <c r="AG69" s="58"/>
      <c r="AH69" s="58"/>
      <c r="AI69" s="58"/>
      <c r="AJ69" s="58"/>
      <c r="AK69" s="58"/>
      <c r="AL69" s="58"/>
      <c r="AM69" s="58"/>
      <c r="AN69" s="88"/>
    </row>
    <row r="70">
      <c r="A70" s="33" t="str">
        <f>IFERROR(__xludf.DUMMYFUNCTION("LEFT(REGEXREPLACE($H70, ""(?i)^8301(E000|E100|E200|E300)?"", """"), 4)"),"E90D")</f>
        <v>E90D</v>
      </c>
      <c r="B70" s="34" t="str">
        <f>IFERROR(__xludf.DUMMYFUNCTION("REGEXREPLACE($H70, ""(?i)^8301(E000|E100|E200|E300)?"", """")"),"E90D00160FB2B2B2B2B259190248AE")</f>
        <v>E90D00160FB2B2B2B2B259190248AE</v>
      </c>
      <c r="C70" s="36" t="s">
        <v>30</v>
      </c>
      <c r="D70" s="36" t="s">
        <v>503</v>
      </c>
      <c r="E70" s="36" t="s">
        <v>106</v>
      </c>
      <c r="F70" s="36" t="s">
        <v>107</v>
      </c>
      <c r="G70" s="37">
        <v>46220.0</v>
      </c>
      <c r="H70" s="38" t="s">
        <v>265</v>
      </c>
      <c r="I70" s="36"/>
      <c r="J70" s="39" t="str">
        <f t="shared" si="2"/>
        <v>0x0D</v>
      </c>
      <c r="K70" s="40" t="str">
        <f t="shared" si="3"/>
        <v>0x00</v>
      </c>
      <c r="L70" s="40" t="str">
        <f t="shared" si="4"/>
        <v>0x16</v>
      </c>
      <c r="M70" s="42">
        <v>5.0</v>
      </c>
      <c r="N70" s="42" t="str">
        <f t="shared" si="45"/>
        <v>0x0F</v>
      </c>
      <c r="O70" s="48" t="str">
        <f t="shared" si="46"/>
        <v>0xB2</v>
      </c>
      <c r="P70" s="48" t="str">
        <f t="shared" si="47"/>
        <v>0xB2</v>
      </c>
      <c r="Q70" s="48" t="str">
        <f t="shared" si="92"/>
        <v>0xB2</v>
      </c>
      <c r="R70" s="42"/>
      <c r="S70" s="48" t="str">
        <f t="shared" si="93"/>
        <v>0xB2</v>
      </c>
      <c r="T70" s="48" t="str">
        <f t="shared" si="94"/>
        <v>0xB2</v>
      </c>
      <c r="U70" s="48"/>
      <c r="V70" s="40">
        <v>21.0</v>
      </c>
      <c r="W70" s="40" t="str">
        <f t="shared" ref="W70:AA70" si="96">"0x" &amp; MID($B70,$V70  + 2*(COLUMN() - COLUMN($W70)), 2)</f>
        <v>0x59</v>
      </c>
      <c r="X70" s="40" t="str">
        <f t="shared" si="96"/>
        <v>0x19</v>
      </c>
      <c r="Y70" s="40" t="str">
        <f t="shared" si="96"/>
        <v>0x02</v>
      </c>
      <c r="Z70" s="40" t="str">
        <f t="shared" si="96"/>
        <v>0x48</v>
      </c>
      <c r="AA70" s="40" t="str">
        <f t="shared" si="96"/>
        <v>0xAE</v>
      </c>
      <c r="AB70" s="40"/>
      <c r="AC70" s="40"/>
      <c r="AD70" s="40"/>
      <c r="AE70" s="40"/>
      <c r="AF70" s="40"/>
      <c r="AG70" s="40"/>
      <c r="AH70" s="40"/>
      <c r="AI70" s="40"/>
      <c r="AJ70" s="40"/>
      <c r="AK70" s="40"/>
      <c r="AL70" s="40"/>
      <c r="AM70" s="40"/>
      <c r="AN70" s="75"/>
    </row>
    <row r="71">
      <c r="A71" s="51" t="str">
        <f>IFERROR(__xludf.DUMMYFUNCTION("LEFT(REGEXREPLACE($H71, ""(?i)^8301(E000|E100|E200|E300)?"", """"), 4)"),"E90D")</f>
        <v>E90D</v>
      </c>
      <c r="B71" s="52" t="str">
        <f>IFERROR(__xludf.DUMMYFUNCTION("REGEXREPLACE($H71, ""(?i)^8301(E000|E100|E200|E300)?"", """")"),"E90D00160FB2AFB2AFB259190E48AE")</f>
        <v>E90D00160FB2AFB2AFB259190E48AE</v>
      </c>
      <c r="C71" s="65" t="s">
        <v>30</v>
      </c>
      <c r="D71" s="65" t="s">
        <v>503</v>
      </c>
      <c r="E71" s="65" t="s">
        <v>106</v>
      </c>
      <c r="F71" s="65" t="s">
        <v>107</v>
      </c>
      <c r="G71" s="67">
        <v>46220.0</v>
      </c>
      <c r="H71" s="68" t="s">
        <v>264</v>
      </c>
      <c r="I71" s="53"/>
      <c r="J71" s="57" t="str">
        <f t="shared" si="2"/>
        <v>0x0D</v>
      </c>
      <c r="K71" s="58" t="str">
        <f t="shared" si="3"/>
        <v>0x00</v>
      </c>
      <c r="L71" s="58" t="str">
        <f t="shared" si="4"/>
        <v>0x16</v>
      </c>
      <c r="M71" s="59">
        <v>5.0</v>
      </c>
      <c r="N71" s="59" t="str">
        <f t="shared" si="45"/>
        <v>0x0F</v>
      </c>
      <c r="O71" s="71" t="str">
        <f t="shared" si="46"/>
        <v>0xB2</v>
      </c>
      <c r="P71" s="71" t="str">
        <f t="shared" si="47"/>
        <v>0xAF</v>
      </c>
      <c r="Q71" s="71" t="str">
        <f t="shared" si="92"/>
        <v>0xB2</v>
      </c>
      <c r="R71" s="59"/>
      <c r="S71" s="71" t="str">
        <f t="shared" si="93"/>
        <v>0xAF</v>
      </c>
      <c r="T71" s="71" t="str">
        <f t="shared" si="94"/>
        <v>0xB2</v>
      </c>
      <c r="U71" s="71"/>
      <c r="V71" s="58">
        <v>21.0</v>
      </c>
      <c r="W71" s="58" t="str">
        <f t="shared" ref="W71:AA71" si="97">"0x" &amp; MID($B71,$V71  + 2*(COLUMN() - COLUMN($W71)), 2)</f>
        <v>0x59</v>
      </c>
      <c r="X71" s="58" t="str">
        <f t="shared" si="97"/>
        <v>0x19</v>
      </c>
      <c r="Y71" s="58" t="str">
        <f t="shared" si="97"/>
        <v>0x0E</v>
      </c>
      <c r="Z71" s="58" t="str">
        <f t="shared" si="97"/>
        <v>0x48</v>
      </c>
      <c r="AA71" s="58" t="str">
        <f t="shared" si="97"/>
        <v>0xAE</v>
      </c>
      <c r="AB71" s="58"/>
      <c r="AC71" s="58"/>
      <c r="AD71" s="58"/>
      <c r="AE71" s="58"/>
      <c r="AF71" s="58"/>
      <c r="AG71" s="58"/>
      <c r="AH71" s="58"/>
      <c r="AI71" s="58"/>
      <c r="AJ71" s="58"/>
      <c r="AK71" s="58"/>
      <c r="AL71" s="58"/>
      <c r="AM71" s="58"/>
      <c r="AN71" s="88"/>
    </row>
    <row r="72">
      <c r="A72" s="33" t="str">
        <f>IFERROR(__xludf.DUMMYFUNCTION("LEFT(REGEXREPLACE($H72, ""(?i)^8301(E000|E100|E200|E300)?"", """"), 4)"),"E90D")</f>
        <v>E90D</v>
      </c>
      <c r="B72" s="34" t="str">
        <f>IFERROR(__xludf.DUMMYFUNCTION("REGEXREPLACE($H72, ""(?i)^8301(E000|E100|E200|E300)?"", """")"),"E90D00110FBBBBBBBBBB59320248AE")</f>
        <v>E90D00110FBBBBBBBBBB59320248AE</v>
      </c>
      <c r="C72" s="36" t="s">
        <v>30</v>
      </c>
      <c r="D72" s="36" t="s">
        <v>503</v>
      </c>
      <c r="E72" s="36" t="s">
        <v>106</v>
      </c>
      <c r="F72" s="36" t="s">
        <v>107</v>
      </c>
      <c r="G72" s="37">
        <v>46220.0</v>
      </c>
      <c r="H72" s="38" t="s">
        <v>258</v>
      </c>
      <c r="I72" s="36"/>
      <c r="J72" s="39" t="str">
        <f t="shared" si="2"/>
        <v>0x0D</v>
      </c>
      <c r="K72" s="40" t="str">
        <f t="shared" si="3"/>
        <v>0x00</v>
      </c>
      <c r="L72" s="40" t="str">
        <f t="shared" si="4"/>
        <v>0x11</v>
      </c>
      <c r="M72" s="42">
        <v>5.0</v>
      </c>
      <c r="N72" s="42" t="str">
        <f t="shared" si="45"/>
        <v>0x0F</v>
      </c>
      <c r="O72" s="48" t="str">
        <f t="shared" si="46"/>
        <v>0xBB</v>
      </c>
      <c r="P72" s="48" t="str">
        <f t="shared" si="47"/>
        <v>0xBB</v>
      </c>
      <c r="Q72" s="48" t="str">
        <f t="shared" si="92"/>
        <v>0xBB</v>
      </c>
      <c r="R72" s="42"/>
      <c r="S72" s="48" t="str">
        <f t="shared" si="93"/>
        <v>0xBB</v>
      </c>
      <c r="T72" s="48" t="str">
        <f t="shared" si="94"/>
        <v>0xBB</v>
      </c>
      <c r="U72" s="48"/>
      <c r="V72" s="40">
        <v>21.0</v>
      </c>
      <c r="W72" s="40" t="str">
        <f t="shared" ref="W72:AA72" si="98">"0x" &amp; MID($B72,$V72  + 2*(COLUMN() - COLUMN($W72)), 2)</f>
        <v>0x59</v>
      </c>
      <c r="X72" s="40" t="str">
        <f t="shared" si="98"/>
        <v>0x32</v>
      </c>
      <c r="Y72" s="40" t="str">
        <f t="shared" si="98"/>
        <v>0x02</v>
      </c>
      <c r="Z72" s="40" t="str">
        <f t="shared" si="98"/>
        <v>0x48</v>
      </c>
      <c r="AA72" s="40" t="str">
        <f t="shared" si="98"/>
        <v>0xAE</v>
      </c>
      <c r="AB72" s="40"/>
      <c r="AC72" s="40"/>
      <c r="AD72" s="40"/>
      <c r="AE72" s="40"/>
      <c r="AF72" s="40"/>
      <c r="AG72" s="40"/>
      <c r="AH72" s="40"/>
      <c r="AI72" s="40"/>
      <c r="AJ72" s="40"/>
      <c r="AK72" s="40"/>
      <c r="AL72" s="40"/>
      <c r="AM72" s="40"/>
      <c r="AN72" s="75"/>
    </row>
    <row r="73">
      <c r="A73" s="51" t="str">
        <f>IFERROR(__xludf.DUMMYFUNCTION("LEFT(REGEXREPLACE($H73, ""(?i)^8301(E000|E100|E200|E300)?"", """"), 4)"),"E90C")</f>
        <v>E90C</v>
      </c>
      <c r="B73" s="52" t="str">
        <f>IFERROR(__xludf.DUMMYFUNCTION("REGEXREPLACE($H73, ""(?i)^8301(E000|E100|E200|E300)?"", """")"),"E90C00010F4D4D5A940200488BB0")</f>
        <v>E90C00010F4D4D5A940200488BB0</v>
      </c>
      <c r="C73" s="65" t="s">
        <v>30</v>
      </c>
      <c r="D73" s="53"/>
      <c r="E73" s="65" t="s">
        <v>106</v>
      </c>
      <c r="F73" s="65" t="s">
        <v>175</v>
      </c>
      <c r="G73" s="67">
        <v>46220.0</v>
      </c>
      <c r="H73" s="68" t="s">
        <v>246</v>
      </c>
      <c r="I73" s="65"/>
      <c r="J73" s="57" t="str">
        <f t="shared" si="2"/>
        <v>0x0C</v>
      </c>
      <c r="K73" s="58" t="str">
        <f t="shared" si="3"/>
        <v>0x00</v>
      </c>
      <c r="L73" s="58" t="str">
        <f t="shared" si="4"/>
        <v>0x01</v>
      </c>
      <c r="M73" s="59">
        <v>2.0</v>
      </c>
      <c r="N73" s="59" t="str">
        <f t="shared" si="45"/>
        <v>0x0F</v>
      </c>
      <c r="O73" s="71" t="str">
        <f t="shared" si="46"/>
        <v>0x4D</v>
      </c>
      <c r="P73" s="71" t="str">
        <f t="shared" si="47"/>
        <v>0x4D</v>
      </c>
      <c r="Q73" s="60"/>
      <c r="R73" s="61"/>
      <c r="S73" s="60"/>
      <c r="T73" s="60"/>
      <c r="U73" s="60"/>
      <c r="V73" s="58">
        <v>15.0</v>
      </c>
      <c r="W73" s="62" t="str">
        <f t="shared" ref="W73:AB73" si="99">"0x" &amp; MID($B73,$V73  + 2*(COLUMN() - COLUMN($W73)), 2)</f>
        <v>0x5A</v>
      </c>
      <c r="X73" s="62" t="str">
        <f t="shared" si="99"/>
        <v>0x94</v>
      </c>
      <c r="Y73" s="62" t="str">
        <f t="shared" si="99"/>
        <v>0x02</v>
      </c>
      <c r="Z73" s="62" t="str">
        <f t="shared" si="99"/>
        <v>0x00</v>
      </c>
      <c r="AA73" s="62" t="str">
        <f t="shared" si="99"/>
        <v>0x48</v>
      </c>
      <c r="AB73" s="62" t="str">
        <f t="shared" si="99"/>
        <v>0x8B</v>
      </c>
      <c r="AC73" s="62"/>
      <c r="AD73" s="62"/>
      <c r="AE73" s="62"/>
      <c r="AF73" s="58"/>
      <c r="AG73" s="58"/>
      <c r="AH73" s="58"/>
      <c r="AI73" s="58"/>
      <c r="AJ73" s="58"/>
      <c r="AK73" s="58"/>
      <c r="AL73" s="58"/>
      <c r="AM73" s="58"/>
      <c r="AN73" s="74" t="str">
        <f>"0x"&amp;MID($B73,27,2)</f>
        <v>0xB0</v>
      </c>
    </row>
    <row r="74">
      <c r="A74" s="33" t="str">
        <f>IFERROR(__xludf.DUMMYFUNCTION("LEFT(REGEXREPLACE($H74, ""(?i)^8301(E000|E100|E200|E300)?"", """"), 4)"),"E911")</f>
        <v>E911</v>
      </c>
      <c r="B74" s="34" t="str">
        <f>IFERROR(__xludf.DUMMYFUNCTION("REGEXREPLACE($H74, ""(?i)^8301(E000|E100|E200|E300)?"", """")"),"E911000C0F55555BF01820374894D13D050BB0")</f>
        <v>E911000C0F55555BF01820374894D13D050BB0</v>
      </c>
      <c r="C74" s="36" t="s">
        <v>47</v>
      </c>
      <c r="D74" s="36" t="s">
        <v>508</v>
      </c>
      <c r="E74" s="36" t="s">
        <v>129</v>
      </c>
      <c r="F74" s="69" t="s">
        <v>137</v>
      </c>
      <c r="G74" s="37">
        <v>46240.0</v>
      </c>
      <c r="H74" s="44" t="s">
        <v>395</v>
      </c>
      <c r="I74" s="36" t="s">
        <v>153</v>
      </c>
      <c r="J74" s="39" t="str">
        <f t="shared" si="2"/>
        <v>0x11</v>
      </c>
      <c r="K74" s="40" t="str">
        <f t="shared" si="3"/>
        <v>0x00</v>
      </c>
      <c r="L74" s="40" t="str">
        <f t="shared" si="4"/>
        <v>0x0C</v>
      </c>
      <c r="M74" s="77">
        <v>2.0</v>
      </c>
      <c r="N74" s="78" t="str">
        <f t="shared" si="45"/>
        <v>0x0F</v>
      </c>
      <c r="O74" s="72" t="str">
        <f t="shared" si="46"/>
        <v>0x55</v>
      </c>
      <c r="P74" s="72" t="str">
        <f t="shared" si="47"/>
        <v>0x55</v>
      </c>
      <c r="Q74" s="79"/>
      <c r="R74" s="80"/>
      <c r="S74" s="79"/>
      <c r="T74" s="79"/>
      <c r="U74" s="79"/>
      <c r="V74" s="81">
        <v>15.0</v>
      </c>
      <c r="W74" s="47" t="str">
        <f t="shared" ref="W74:AG74" si="100">"0x" &amp; MID($B74,$V74  + 2*(COLUMN() - COLUMN($W74)), 2)</f>
        <v>0x5B</v>
      </c>
      <c r="X74" s="47" t="str">
        <f t="shared" si="100"/>
        <v>0xF0</v>
      </c>
      <c r="Y74" s="47" t="str">
        <f t="shared" si="100"/>
        <v>0x18</v>
      </c>
      <c r="Z74" s="47" t="str">
        <f t="shared" si="100"/>
        <v>0x20</v>
      </c>
      <c r="AA74" s="47" t="str">
        <f t="shared" si="100"/>
        <v>0x37</v>
      </c>
      <c r="AB74" s="47" t="str">
        <f t="shared" si="100"/>
        <v>0x48</v>
      </c>
      <c r="AC74" s="47" t="str">
        <f t="shared" si="100"/>
        <v>0x94</v>
      </c>
      <c r="AD74" s="47" t="str">
        <f t="shared" si="100"/>
        <v>0xD1</v>
      </c>
      <c r="AE74" s="47" t="str">
        <f t="shared" si="100"/>
        <v>0x3D</v>
      </c>
      <c r="AF74" s="47" t="str">
        <f t="shared" si="100"/>
        <v>0x05</v>
      </c>
      <c r="AG74" s="47" t="str">
        <f t="shared" si="100"/>
        <v>0x0B</v>
      </c>
      <c r="AH74" s="93"/>
      <c r="AI74" s="93"/>
      <c r="AJ74" s="93"/>
      <c r="AK74" s="93"/>
      <c r="AL74" s="93"/>
      <c r="AM74" s="93"/>
      <c r="AN74" s="64" t="str">
        <f t="shared" ref="AN74:AN77" si="102">"0x"&amp;MID($B74,37,2)</f>
        <v>0xB0</v>
      </c>
    </row>
    <row r="75">
      <c r="A75" s="51" t="str">
        <f>IFERROR(__xludf.DUMMYFUNCTION("LEFT(REGEXREPLACE($H75, ""(?i)^8301(E000|E100|E200|E300)?"", """"), 4)"),"E911")</f>
        <v>E911</v>
      </c>
      <c r="B75" s="52" t="str">
        <f>IFERROR(__xludf.DUMMYFUNCTION("REGEXREPLACE($H75, ""(?i)^8301(E000|E100|E200|E300)?"", """")"),"E91100010F48485BF01834374894D13D050AB0")</f>
        <v>E91100010F48485BF01834374894D13D050AB0</v>
      </c>
      <c r="C75" s="65" t="s">
        <v>47</v>
      </c>
      <c r="D75" s="53"/>
      <c r="E75" s="65" t="s">
        <v>106</v>
      </c>
      <c r="F75" s="65" t="s">
        <v>175</v>
      </c>
      <c r="G75" s="67">
        <v>46220.0</v>
      </c>
      <c r="H75" s="68" t="s">
        <v>354</v>
      </c>
      <c r="I75" s="65" t="s">
        <v>153</v>
      </c>
      <c r="J75" s="57" t="str">
        <f t="shared" si="2"/>
        <v>0x11</v>
      </c>
      <c r="K75" s="58" t="str">
        <f t="shared" si="3"/>
        <v>0x00</v>
      </c>
      <c r="L75" s="58" t="str">
        <f t="shared" si="4"/>
        <v>0x01</v>
      </c>
      <c r="M75" s="59">
        <v>2.0</v>
      </c>
      <c r="N75" s="59" t="str">
        <f t="shared" si="45"/>
        <v>0x0F</v>
      </c>
      <c r="O75" s="71" t="str">
        <f t="shared" si="46"/>
        <v>0x48</v>
      </c>
      <c r="P75" s="71" t="str">
        <f t="shared" si="47"/>
        <v>0x48</v>
      </c>
      <c r="Q75" s="71"/>
      <c r="R75" s="59"/>
      <c r="S75" s="71"/>
      <c r="T75" s="71"/>
      <c r="U75" s="71"/>
      <c r="V75" s="58">
        <v>15.0</v>
      </c>
      <c r="W75" s="58" t="str">
        <f t="shared" ref="W75:AG75" si="101">"0x" &amp; MID($B75,$V75  + 2*(COLUMN() - COLUMN($W75)), 2)</f>
        <v>0x5B</v>
      </c>
      <c r="X75" s="58" t="str">
        <f t="shared" si="101"/>
        <v>0xF0</v>
      </c>
      <c r="Y75" s="58" t="str">
        <f t="shared" si="101"/>
        <v>0x18</v>
      </c>
      <c r="Z75" s="58" t="str">
        <f t="shared" si="101"/>
        <v>0x34</v>
      </c>
      <c r="AA75" s="58" t="str">
        <f t="shared" si="101"/>
        <v>0x37</v>
      </c>
      <c r="AB75" s="58" t="str">
        <f t="shared" si="101"/>
        <v>0x48</v>
      </c>
      <c r="AC75" s="58" t="str">
        <f t="shared" si="101"/>
        <v>0x94</v>
      </c>
      <c r="AD75" s="58" t="str">
        <f t="shared" si="101"/>
        <v>0xD1</v>
      </c>
      <c r="AE75" s="58" t="str">
        <f t="shared" si="101"/>
        <v>0x3D</v>
      </c>
      <c r="AF75" s="58" t="str">
        <f t="shared" si="101"/>
        <v>0x05</v>
      </c>
      <c r="AG75" s="58" t="str">
        <f t="shared" si="101"/>
        <v>0x0A</v>
      </c>
      <c r="AH75" s="58"/>
      <c r="AI75" s="58"/>
      <c r="AJ75" s="58"/>
      <c r="AK75" s="58"/>
      <c r="AL75" s="58"/>
      <c r="AM75" s="58"/>
      <c r="AN75" s="88" t="str">
        <f t="shared" si="102"/>
        <v>0xB0</v>
      </c>
    </row>
    <row r="76">
      <c r="A76" s="33" t="str">
        <f>IFERROR(__xludf.DUMMYFUNCTION("LEFT(REGEXREPLACE($H76, ""(?i)^8301(E000|E100|E200|E300)?"", """"), 4)"),"E911")</f>
        <v>E911</v>
      </c>
      <c r="B76" s="34" t="str">
        <f>IFERROR(__xludf.DUMMYFUNCTION("REGEXREPLACE($H76, ""(?i)^8301(E000|E100|E200|E300)?"", """")"),"E91100020F4E4D5BF03134374894D13D0507B0")</f>
        <v>E91100020F4E4D5BF03134374894D13D0507B0</v>
      </c>
      <c r="C76" s="36" t="s">
        <v>47</v>
      </c>
      <c r="D76" s="35"/>
      <c r="E76" s="36" t="s">
        <v>106</v>
      </c>
      <c r="F76" s="36" t="s">
        <v>175</v>
      </c>
      <c r="G76" s="37">
        <v>46220.0</v>
      </c>
      <c r="H76" s="38" t="s">
        <v>358</v>
      </c>
      <c r="I76" s="36" t="s">
        <v>153</v>
      </c>
      <c r="J76" s="39" t="str">
        <f t="shared" si="2"/>
        <v>0x11</v>
      </c>
      <c r="K76" s="40" t="str">
        <f t="shared" si="3"/>
        <v>0x00</v>
      </c>
      <c r="L76" s="40" t="str">
        <f t="shared" si="4"/>
        <v>0x02</v>
      </c>
      <c r="M76" s="77">
        <v>2.0</v>
      </c>
      <c r="N76" s="78" t="str">
        <f t="shared" si="45"/>
        <v>0x0F</v>
      </c>
      <c r="O76" s="72" t="str">
        <f t="shared" si="46"/>
        <v>0x4E</v>
      </c>
      <c r="P76" s="72" t="str">
        <f t="shared" si="47"/>
        <v>0x4D</v>
      </c>
      <c r="Q76" s="79"/>
      <c r="R76" s="80"/>
      <c r="S76" s="79"/>
      <c r="T76" s="79"/>
      <c r="U76" s="79"/>
      <c r="V76" s="81">
        <v>15.0</v>
      </c>
      <c r="W76" s="47" t="str">
        <f t="shared" ref="W76:AG76" si="103">"0x" &amp; MID($B76,$V76  + 2*(COLUMN() - COLUMN($W76)), 2)</f>
        <v>0x5B</v>
      </c>
      <c r="X76" s="47" t="str">
        <f t="shared" si="103"/>
        <v>0xF0</v>
      </c>
      <c r="Y76" s="47" t="str">
        <f t="shared" si="103"/>
        <v>0x31</v>
      </c>
      <c r="Z76" s="47" t="str">
        <f t="shared" si="103"/>
        <v>0x34</v>
      </c>
      <c r="AA76" s="47" t="str">
        <f t="shared" si="103"/>
        <v>0x37</v>
      </c>
      <c r="AB76" s="47" t="str">
        <f t="shared" si="103"/>
        <v>0x48</v>
      </c>
      <c r="AC76" s="47" t="str">
        <f t="shared" si="103"/>
        <v>0x94</v>
      </c>
      <c r="AD76" s="47" t="str">
        <f t="shared" si="103"/>
        <v>0xD1</v>
      </c>
      <c r="AE76" s="47" t="str">
        <f t="shared" si="103"/>
        <v>0x3D</v>
      </c>
      <c r="AF76" s="47" t="str">
        <f t="shared" si="103"/>
        <v>0x05</v>
      </c>
      <c r="AG76" s="47" t="str">
        <f t="shared" si="103"/>
        <v>0x07</v>
      </c>
      <c r="AH76" s="93"/>
      <c r="AI76" s="93"/>
      <c r="AJ76" s="93"/>
      <c r="AK76" s="93"/>
      <c r="AL76" s="93"/>
      <c r="AM76" s="93"/>
      <c r="AN76" s="64" t="str">
        <f t="shared" si="102"/>
        <v>0xB0</v>
      </c>
    </row>
    <row r="77">
      <c r="A77" s="51" t="str">
        <f>IFERROR(__xludf.DUMMYFUNCTION("LEFT(REGEXREPLACE($H77, ""(?i)^8301(E000|E100|E200|E300)?"", """"), 4)"),"E911")</f>
        <v>E911</v>
      </c>
      <c r="B77" s="52" t="str">
        <f>IFERROR(__xludf.DUMMYFUNCTION("REGEXREPLACE($H77, ""(?i)^8301(E000|E100|E200|E300)?"", """")"),"E91100010F54535BF04040374894D13D0905B0")</f>
        <v>E91100010F54535BF04040374894D13D0905B0</v>
      </c>
      <c r="C77" s="65" t="s">
        <v>30</v>
      </c>
      <c r="D77" s="65"/>
      <c r="E77" s="65" t="s">
        <v>217</v>
      </c>
      <c r="F77" s="65" t="s">
        <v>218</v>
      </c>
      <c r="G77" s="67">
        <v>46244.0</v>
      </c>
      <c r="H77" s="68" t="s">
        <v>463</v>
      </c>
      <c r="I77" s="65" t="s">
        <v>153</v>
      </c>
      <c r="J77" s="57" t="str">
        <f t="shared" si="2"/>
        <v>0x11</v>
      </c>
      <c r="K77" s="58" t="str">
        <f t="shared" si="3"/>
        <v>0x00</v>
      </c>
      <c r="L77" s="58" t="str">
        <f t="shared" si="4"/>
        <v>0x01</v>
      </c>
      <c r="M77" s="82">
        <v>2.0</v>
      </c>
      <c r="N77" s="83" t="str">
        <f t="shared" si="45"/>
        <v>0x0F</v>
      </c>
      <c r="O77" s="84" t="str">
        <f t="shared" si="46"/>
        <v>0x54</v>
      </c>
      <c r="P77" s="84" t="str">
        <f t="shared" si="47"/>
        <v>0x53</v>
      </c>
      <c r="Q77" s="85"/>
      <c r="R77" s="86"/>
      <c r="S77" s="85"/>
      <c r="T77" s="85"/>
      <c r="U77" s="85"/>
      <c r="V77" s="87">
        <v>15.0</v>
      </c>
      <c r="W77" s="62" t="str">
        <f t="shared" ref="W77:AG77" si="104">"0x" &amp; MID($B77,$V77  + 2*(COLUMN() - COLUMN($W77)), 2)</f>
        <v>0x5B</v>
      </c>
      <c r="X77" s="62" t="str">
        <f t="shared" si="104"/>
        <v>0xF0</v>
      </c>
      <c r="Y77" s="62" t="str">
        <f t="shared" si="104"/>
        <v>0x40</v>
      </c>
      <c r="Z77" s="62" t="str">
        <f t="shared" si="104"/>
        <v>0x40</v>
      </c>
      <c r="AA77" s="62" t="str">
        <f t="shared" si="104"/>
        <v>0x37</v>
      </c>
      <c r="AB77" s="62" t="str">
        <f t="shared" si="104"/>
        <v>0x48</v>
      </c>
      <c r="AC77" s="62" t="str">
        <f t="shared" si="104"/>
        <v>0x94</v>
      </c>
      <c r="AD77" s="62" t="str">
        <f t="shared" si="104"/>
        <v>0xD1</v>
      </c>
      <c r="AE77" s="62" t="str">
        <f t="shared" si="104"/>
        <v>0x3D</v>
      </c>
      <c r="AF77" s="62" t="str">
        <f t="shared" si="104"/>
        <v>0x09</v>
      </c>
      <c r="AG77" s="62" t="str">
        <f t="shared" si="104"/>
        <v>0x05</v>
      </c>
      <c r="AH77" s="94"/>
      <c r="AI77" s="94"/>
      <c r="AJ77" s="94"/>
      <c r="AK77" s="94"/>
      <c r="AL77" s="94"/>
      <c r="AM77" s="94"/>
      <c r="AN77" s="74" t="str">
        <f t="shared" si="102"/>
        <v>0xB0</v>
      </c>
    </row>
    <row r="78">
      <c r="A78" s="33" t="str">
        <f>IFERROR(__xludf.DUMMYFUNCTION("LEFT(REGEXREPLACE($H78, ""(?i)^8301(E000|E100|E200|E300)?"", """"), 4)"),"E90C")</f>
        <v>E90C</v>
      </c>
      <c r="B78" s="34" t="str">
        <f>IFERROR(__xludf.DUMMYFUNCTION("REGEXREPLACE($H78, ""(?i)^8301(E000|E100|E200|E300)?"", """")"),"E90C00010F5C5C5BF000FC374895")</f>
        <v>E90C00010F5C5C5BF000FC374895</v>
      </c>
      <c r="C78" s="36" t="s">
        <v>30</v>
      </c>
      <c r="D78" s="36" t="s">
        <v>520</v>
      </c>
      <c r="E78" s="36" t="s">
        <v>106</v>
      </c>
      <c r="F78" s="36" t="s">
        <v>107</v>
      </c>
      <c r="G78" s="37">
        <v>46220.0</v>
      </c>
      <c r="H78" s="38" t="s">
        <v>247</v>
      </c>
      <c r="I78" s="36"/>
      <c r="J78" s="39" t="str">
        <f t="shared" si="2"/>
        <v>0x0C</v>
      </c>
      <c r="K78" s="40" t="str">
        <f t="shared" si="3"/>
        <v>0x00</v>
      </c>
      <c r="L78" s="40" t="str">
        <f t="shared" si="4"/>
        <v>0x01</v>
      </c>
      <c r="M78" s="42">
        <v>2.0</v>
      </c>
      <c r="N78" s="42" t="str">
        <f t="shared" si="45"/>
        <v>0x0F</v>
      </c>
      <c r="O78" s="48" t="str">
        <f t="shared" si="46"/>
        <v>0x5C</v>
      </c>
      <c r="P78" s="48" t="str">
        <f t="shared" si="47"/>
        <v>0x5C</v>
      </c>
      <c r="Q78" s="45"/>
      <c r="R78" s="46"/>
      <c r="S78" s="45"/>
      <c r="T78" s="45"/>
      <c r="U78" s="45"/>
      <c r="V78" s="40">
        <v>15.0</v>
      </c>
      <c r="W78" s="47" t="str">
        <f t="shared" ref="W78:AC78" si="105">"0x" &amp; MID($B78,$V78  + 2*(COLUMN() - COLUMN($W78)), 2)</f>
        <v>0x5B</v>
      </c>
      <c r="X78" s="47" t="str">
        <f t="shared" si="105"/>
        <v>0xF0</v>
      </c>
      <c r="Y78" s="47" t="str">
        <f t="shared" si="105"/>
        <v>0x00</v>
      </c>
      <c r="Z78" s="47" t="str">
        <f t="shared" si="105"/>
        <v>0xFC</v>
      </c>
      <c r="AA78" s="47" t="str">
        <f t="shared" si="105"/>
        <v>0x37</v>
      </c>
      <c r="AB78" s="47" t="str">
        <f t="shared" si="105"/>
        <v>0x48</v>
      </c>
      <c r="AC78" s="47" t="str">
        <f t="shared" si="105"/>
        <v>0x95</v>
      </c>
      <c r="AD78" s="47"/>
      <c r="AE78" s="47"/>
      <c r="AF78" s="40"/>
      <c r="AG78" s="40"/>
      <c r="AH78" s="40"/>
      <c r="AI78" s="40"/>
      <c r="AJ78" s="40"/>
      <c r="AK78" s="40"/>
      <c r="AL78" s="40"/>
      <c r="AM78" s="40"/>
      <c r="AN78" s="75"/>
    </row>
    <row r="79">
      <c r="A79" s="51" t="str">
        <f>IFERROR(__xludf.DUMMYFUNCTION("LEFT(REGEXREPLACE($H79, ""(?i)^8301(E000|E100|E200|E300)?"", """"), 4)"),"E911")</f>
        <v>E911</v>
      </c>
      <c r="B79" s="52" t="str">
        <f>IFERROR(__xludf.DUMMYFUNCTION("REGEXREPLACE($H79, ""(?i)^8301(E000|E100|E200|E300)?"", """")"),"E91100480F43485BF0403F374894D13D051EB0")</f>
        <v>E91100480F43485BF0403F374894D13D051EB0</v>
      </c>
      <c r="C79" s="65" t="s">
        <v>30</v>
      </c>
      <c r="D79" s="65" t="s">
        <v>478</v>
      </c>
      <c r="E79" s="65" t="s">
        <v>129</v>
      </c>
      <c r="F79" s="65" t="s">
        <v>137</v>
      </c>
      <c r="G79" s="67">
        <v>46207.0</v>
      </c>
      <c r="H79" s="56" t="s">
        <v>374</v>
      </c>
      <c r="I79" s="65" t="s">
        <v>153</v>
      </c>
      <c r="J79" s="57" t="str">
        <f t="shared" si="2"/>
        <v>0x11</v>
      </c>
      <c r="K79" s="58" t="str">
        <f t="shared" si="3"/>
        <v>0x00</v>
      </c>
      <c r="L79" s="58" t="str">
        <f t="shared" si="4"/>
        <v>0x48</v>
      </c>
      <c r="M79" s="82">
        <v>2.0</v>
      </c>
      <c r="N79" s="83" t="str">
        <f t="shared" si="45"/>
        <v>0x0F</v>
      </c>
      <c r="O79" s="84" t="str">
        <f t="shared" si="46"/>
        <v>0x43</v>
      </c>
      <c r="P79" s="84" t="str">
        <f t="shared" si="47"/>
        <v>0x48</v>
      </c>
      <c r="Q79" s="85"/>
      <c r="R79" s="86"/>
      <c r="S79" s="85"/>
      <c r="T79" s="85"/>
      <c r="U79" s="85"/>
      <c r="V79" s="87">
        <v>15.0</v>
      </c>
      <c r="W79" s="58" t="str">
        <f t="shared" ref="W79:AG79" si="106">"0x" &amp; MID($B79,$V79  + 2*(COLUMN() - COLUMN($W79)), 2)</f>
        <v>0x5B</v>
      </c>
      <c r="X79" s="58" t="str">
        <f t="shared" si="106"/>
        <v>0xF0</v>
      </c>
      <c r="Y79" s="58" t="str">
        <f t="shared" si="106"/>
        <v>0x40</v>
      </c>
      <c r="Z79" s="58" t="str">
        <f t="shared" si="106"/>
        <v>0x3F</v>
      </c>
      <c r="AA79" s="58" t="str">
        <f t="shared" si="106"/>
        <v>0x37</v>
      </c>
      <c r="AB79" s="58" t="str">
        <f t="shared" si="106"/>
        <v>0x48</v>
      </c>
      <c r="AC79" s="58" t="str">
        <f t="shared" si="106"/>
        <v>0x94</v>
      </c>
      <c r="AD79" s="58" t="str">
        <f t="shared" si="106"/>
        <v>0xD1</v>
      </c>
      <c r="AE79" s="58" t="str">
        <f t="shared" si="106"/>
        <v>0x3D</v>
      </c>
      <c r="AF79" s="58" t="str">
        <f t="shared" si="106"/>
        <v>0x05</v>
      </c>
      <c r="AG79" s="58" t="str">
        <f t="shared" si="106"/>
        <v>0x1E</v>
      </c>
      <c r="AH79" s="58"/>
      <c r="AI79" s="58"/>
      <c r="AJ79" s="58"/>
      <c r="AK79" s="58"/>
      <c r="AL79" s="58"/>
      <c r="AM79" s="58"/>
      <c r="AN79" s="74" t="str">
        <f t="shared" ref="AN79:AN80" si="108">"0x"&amp;MID($B79,37,2)</f>
        <v>0xB0</v>
      </c>
    </row>
    <row r="80">
      <c r="A80" s="33" t="str">
        <f>IFERROR(__xludf.DUMMYFUNCTION("LEFT(REGEXREPLACE($H80, ""(?i)^8301(E000|E100|E200|E300)?"", """"), 4)"),"E911")</f>
        <v>E911</v>
      </c>
      <c r="B80" s="34" t="str">
        <f>IFERROR(__xludf.DUMMYFUNCTION("REGEXREPLACE($H80, ""(?i)^8301(E000|E100|E200|E300)?"", """")"),"E91100660F44445BF04040374894D13D051EB0")</f>
        <v>E91100660F44445BF04040374894D13D051EB0</v>
      </c>
      <c r="C80" s="36" t="s">
        <v>30</v>
      </c>
      <c r="D80" s="36" t="s">
        <v>521</v>
      </c>
      <c r="E80" s="36" t="s">
        <v>217</v>
      </c>
      <c r="F80" s="36" t="s">
        <v>218</v>
      </c>
      <c r="G80" s="37">
        <v>46244.0</v>
      </c>
      <c r="H80" s="38" t="s">
        <v>446</v>
      </c>
      <c r="I80" s="36" t="s">
        <v>153</v>
      </c>
      <c r="J80" s="39" t="str">
        <f t="shared" si="2"/>
        <v>0x11</v>
      </c>
      <c r="K80" s="40" t="str">
        <f t="shared" si="3"/>
        <v>0x00</v>
      </c>
      <c r="L80" s="40" t="str">
        <f t="shared" si="4"/>
        <v>0x66</v>
      </c>
      <c r="M80" s="77">
        <v>2.0</v>
      </c>
      <c r="N80" s="78" t="str">
        <f t="shared" si="45"/>
        <v>0x0F</v>
      </c>
      <c r="O80" s="72" t="str">
        <f t="shared" si="46"/>
        <v>0x44</v>
      </c>
      <c r="P80" s="72" t="str">
        <f t="shared" si="47"/>
        <v>0x44</v>
      </c>
      <c r="Q80" s="79"/>
      <c r="R80" s="80"/>
      <c r="S80" s="79"/>
      <c r="T80" s="79"/>
      <c r="U80" s="79"/>
      <c r="V80" s="81">
        <v>15.0</v>
      </c>
      <c r="W80" s="40" t="str">
        <f t="shared" ref="W80:AG80" si="107">"0x" &amp; MID($B80,$V80  + 2*(COLUMN() - COLUMN($W80)), 2)</f>
        <v>0x5B</v>
      </c>
      <c r="X80" s="40" t="str">
        <f t="shared" si="107"/>
        <v>0xF0</v>
      </c>
      <c r="Y80" s="40" t="str">
        <f t="shared" si="107"/>
        <v>0x40</v>
      </c>
      <c r="Z80" s="40" t="str">
        <f t="shared" si="107"/>
        <v>0x40</v>
      </c>
      <c r="AA80" s="40" t="str">
        <f t="shared" si="107"/>
        <v>0x37</v>
      </c>
      <c r="AB80" s="40" t="str">
        <f t="shared" si="107"/>
        <v>0x48</v>
      </c>
      <c r="AC80" s="40" t="str">
        <f t="shared" si="107"/>
        <v>0x94</v>
      </c>
      <c r="AD80" s="40" t="str">
        <f t="shared" si="107"/>
        <v>0xD1</v>
      </c>
      <c r="AE80" s="40" t="str">
        <f t="shared" si="107"/>
        <v>0x3D</v>
      </c>
      <c r="AF80" s="40" t="str">
        <f t="shared" si="107"/>
        <v>0x05</v>
      </c>
      <c r="AG80" s="40" t="str">
        <f t="shared" si="107"/>
        <v>0x1E</v>
      </c>
      <c r="AH80" s="40"/>
      <c r="AI80" s="40"/>
      <c r="AJ80" s="40"/>
      <c r="AK80" s="40"/>
      <c r="AL80" s="40"/>
      <c r="AM80" s="40"/>
      <c r="AN80" s="64" t="str">
        <f t="shared" si="108"/>
        <v>0xB0</v>
      </c>
    </row>
    <row r="81">
      <c r="A81" s="51" t="str">
        <f>IFERROR(__xludf.DUMMYFUNCTION("LEFT(REGEXREPLACE($H81, ""(?i)^8301(E000|E100|E200|E300)?"", """"), 4)"),"E90C")</f>
        <v>E90C</v>
      </c>
      <c r="B81" s="52" t="str">
        <f>IFERROR(__xludf.DUMMYFUNCTION("REGEXREPLACE($H81, ""(?i)^8301(E000|E100|E200|E300)?"", """")"),"E90C00EF0F4F4F5BF0FB14374895")</f>
        <v>E90C00EF0F4F4F5BF0FB14374895</v>
      </c>
      <c r="C81" s="65" t="s">
        <v>42</v>
      </c>
      <c r="D81" s="53"/>
      <c r="E81" s="65" t="s">
        <v>106</v>
      </c>
      <c r="F81" s="65" t="s">
        <v>107</v>
      </c>
      <c r="G81" s="67">
        <v>46220.0</v>
      </c>
      <c r="H81" s="68" t="s">
        <v>255</v>
      </c>
      <c r="I81" s="65"/>
      <c r="J81" s="57" t="str">
        <f t="shared" si="2"/>
        <v>0x0C</v>
      </c>
      <c r="K81" s="58" t="str">
        <f t="shared" si="3"/>
        <v>0x00</v>
      </c>
      <c r="L81" s="58" t="str">
        <f t="shared" si="4"/>
        <v>0xEF</v>
      </c>
      <c r="M81" s="59">
        <v>2.0</v>
      </c>
      <c r="N81" s="59" t="str">
        <f t="shared" si="45"/>
        <v>0x0F</v>
      </c>
      <c r="O81" s="71" t="str">
        <f t="shared" si="46"/>
        <v>0x4F</v>
      </c>
      <c r="P81" s="71" t="str">
        <f t="shared" si="47"/>
        <v>0x4F</v>
      </c>
      <c r="Q81" s="60"/>
      <c r="R81" s="61"/>
      <c r="S81" s="60"/>
      <c r="T81" s="60"/>
      <c r="U81" s="60"/>
      <c r="V81" s="58">
        <v>15.0</v>
      </c>
      <c r="W81" s="58" t="str">
        <f t="shared" ref="W81:AC81" si="109">"0x" &amp; MID($B81,$V81  + 2*(COLUMN() - COLUMN($W81)), 2)</f>
        <v>0x5B</v>
      </c>
      <c r="X81" s="58" t="str">
        <f t="shared" si="109"/>
        <v>0xF0</v>
      </c>
      <c r="Y81" s="58" t="str">
        <f t="shared" si="109"/>
        <v>0xFB</v>
      </c>
      <c r="Z81" s="58" t="str">
        <f t="shared" si="109"/>
        <v>0x14</v>
      </c>
      <c r="AA81" s="58" t="str">
        <f t="shared" si="109"/>
        <v>0x37</v>
      </c>
      <c r="AB81" s="58" t="str">
        <f t="shared" si="109"/>
        <v>0x48</v>
      </c>
      <c r="AC81" s="58" t="str">
        <f t="shared" si="109"/>
        <v>0x95</v>
      </c>
      <c r="AD81" s="58"/>
      <c r="AE81" s="58"/>
      <c r="AF81" s="58"/>
      <c r="AG81" s="58"/>
      <c r="AH81" s="58"/>
      <c r="AI81" s="58"/>
      <c r="AJ81" s="58"/>
      <c r="AK81" s="58"/>
      <c r="AL81" s="58"/>
      <c r="AM81" s="58"/>
      <c r="AN81" s="66"/>
    </row>
    <row r="82">
      <c r="A82" s="33" t="str">
        <f>IFERROR(__xludf.DUMMYFUNCTION("LEFT(REGEXREPLACE($H82, ""(?i)^8301(E000|E100|E200|E300)?"", """"), 4)"),"E90E")</f>
        <v>E90E</v>
      </c>
      <c r="B82" s="34" t="str">
        <f>IFERROR(__xludf.DUMMYFUNCTION("REGEXREPLACE($H82, ""(?i)^8301(E000|E100|E200|E300)?"", """")"),"E90E0011D255000000D25800000078B0")</f>
        <v>E90E0011D255000000D25800000078B0</v>
      </c>
      <c r="C82" s="36" t="s">
        <v>198</v>
      </c>
      <c r="D82" s="35"/>
      <c r="E82" s="36" t="s">
        <v>75</v>
      </c>
      <c r="F82" s="36" t="s">
        <v>120</v>
      </c>
      <c r="G82" s="37">
        <v>46219.0</v>
      </c>
      <c r="H82" s="38" t="s">
        <v>297</v>
      </c>
      <c r="I82" s="36"/>
      <c r="J82" s="39" t="str">
        <f t="shared" si="2"/>
        <v>0x0E</v>
      </c>
      <c r="K82" s="40" t="str">
        <f t="shared" si="3"/>
        <v>0x00</v>
      </c>
      <c r="L82" s="40" t="str">
        <f t="shared" si="4"/>
        <v>0x11</v>
      </c>
      <c r="M82" s="169">
        <v>2.0</v>
      </c>
      <c r="N82" s="78" t="str">
        <f>"0x"&amp;MID($B82,9,4)</f>
        <v>0xD255</v>
      </c>
      <c r="O82" s="72" t="str">
        <f>"0x"&amp;MID($B82,13,2)</f>
        <v>0x00</v>
      </c>
      <c r="P82" s="72" t="str">
        <f>"0x"&amp;MID($B82,15,2)</f>
        <v>0x00</v>
      </c>
      <c r="Q82" s="72" t="str">
        <f>"0x"&amp;MID($B82,17,2)</f>
        <v>0x00</v>
      </c>
      <c r="R82" s="78" t="str">
        <f>"0x"&amp;MID($B82,19,4)</f>
        <v>0xD258</v>
      </c>
      <c r="S82" s="72" t="str">
        <f>"0x"&amp;MID($B82,23,2)</f>
        <v>0x00</v>
      </c>
      <c r="T82" s="72" t="str">
        <f>"0x"&amp;MID($B82,25,2)</f>
        <v>0x00</v>
      </c>
      <c r="U82" s="72" t="str">
        <f>"0x"&amp;MID($B82,27,2)</f>
        <v>0x00</v>
      </c>
      <c r="V82" s="73">
        <v>29.0</v>
      </c>
      <c r="W82" s="47" t="str">
        <f t="shared" ref="W82:W98" si="110">"0x" &amp; MID($B82,$V82  + 2*(COLUMN() - COLUMN($W82)), 2)</f>
        <v>0x78</v>
      </c>
      <c r="X82" s="40"/>
      <c r="Y82" s="40"/>
      <c r="Z82" s="40"/>
      <c r="AA82" s="40"/>
      <c r="AB82" s="40"/>
      <c r="AC82" s="40"/>
      <c r="AD82" s="40"/>
      <c r="AE82" s="40"/>
      <c r="AF82" s="40"/>
      <c r="AG82" s="40"/>
      <c r="AH82" s="40"/>
      <c r="AI82" s="40"/>
      <c r="AJ82" s="40"/>
      <c r="AK82" s="40"/>
      <c r="AL82" s="40"/>
      <c r="AM82" s="40"/>
      <c r="AN82" s="75" t="str">
        <f>"0x"&amp;MID($B82,31,2)</f>
        <v>0xB0</v>
      </c>
    </row>
    <row r="83">
      <c r="A83" s="51" t="str">
        <f>IFERROR(__xludf.DUMMYFUNCTION("LEFT(REGEXREPLACE($H83, ""(?i)^8301(E000|E100|E200|E300)?"", """"), 4)"),"E90F")</f>
        <v>E90F</v>
      </c>
      <c r="B83" s="52" t="str">
        <f>IFERROR(__xludf.DUMMYFUNCTION("REGEXREPLACE($H83, ""(?i)^8301(E000|E100|E200|E300)?"", """")"),"E90F00110EF17AEC5C012814281448ABB0")</f>
        <v>E90F00110EF17AEC5C012814281448ABB0</v>
      </c>
      <c r="C83" s="65" t="s">
        <v>18</v>
      </c>
      <c r="D83" s="65" t="s">
        <v>514</v>
      </c>
      <c r="E83" s="65" t="s">
        <v>75</v>
      </c>
      <c r="F83" s="65" t="s">
        <v>120</v>
      </c>
      <c r="G83" s="67">
        <v>46219.0</v>
      </c>
      <c r="H83" s="68" t="s">
        <v>328</v>
      </c>
      <c r="I83" s="65"/>
      <c r="J83" s="57" t="str">
        <f t="shared" si="2"/>
        <v>0x0F</v>
      </c>
      <c r="K83" s="58" t="str">
        <f t="shared" si="3"/>
        <v>0x00</v>
      </c>
      <c r="L83" s="58" t="str">
        <f t="shared" si="4"/>
        <v>0x11</v>
      </c>
      <c r="M83" s="59">
        <v>1.0</v>
      </c>
      <c r="N83" s="59" t="str">
        <f t="shared" ref="N83:N92" si="112">"0x"&amp;MID($B83,9,2)</f>
        <v>0x0E</v>
      </c>
      <c r="O83" s="71" t="str">
        <f t="shared" ref="O83:O92" si="113">"0x"&amp;MID($B83,11,2)</f>
        <v>0xF1</v>
      </c>
      <c r="P83" s="71"/>
      <c r="Q83" s="71"/>
      <c r="R83" s="59"/>
      <c r="S83" s="71"/>
      <c r="T83" s="71"/>
      <c r="U83" s="71"/>
      <c r="V83" s="58">
        <v>13.0</v>
      </c>
      <c r="W83" s="58" t="str">
        <f t="shared" si="110"/>
        <v>0x7A</v>
      </c>
      <c r="X83" s="58" t="str">
        <f t="shared" ref="X83:AF83" si="111">"0x" &amp; MID($B83,$V83  + 2*(COLUMN() - COLUMN($W83)), 2)</f>
        <v>0xEC</v>
      </c>
      <c r="Y83" s="58" t="str">
        <f t="shared" si="111"/>
        <v>0x5C</v>
      </c>
      <c r="Z83" s="58" t="str">
        <f t="shared" si="111"/>
        <v>0x01</v>
      </c>
      <c r="AA83" s="58" t="str">
        <f t="shared" si="111"/>
        <v>0x28</v>
      </c>
      <c r="AB83" s="58" t="str">
        <f t="shared" si="111"/>
        <v>0x14</v>
      </c>
      <c r="AC83" s="58" t="str">
        <f t="shared" si="111"/>
        <v>0x28</v>
      </c>
      <c r="AD83" s="58" t="str">
        <f t="shared" si="111"/>
        <v>0x14</v>
      </c>
      <c r="AE83" s="58" t="str">
        <f t="shared" si="111"/>
        <v>0x48</v>
      </c>
      <c r="AF83" s="58" t="str">
        <f t="shared" si="111"/>
        <v>0xAB</v>
      </c>
      <c r="AG83" s="58"/>
      <c r="AH83" s="58"/>
      <c r="AI83" s="58"/>
      <c r="AJ83" s="58"/>
      <c r="AK83" s="58"/>
      <c r="AL83" s="58"/>
      <c r="AM83" s="58"/>
      <c r="AN83" s="88" t="str">
        <f t="shared" ref="AN83:AN84" si="115">"0x"&amp;MID($B83,33,2)</f>
        <v>0xB0</v>
      </c>
    </row>
    <row r="84">
      <c r="A84" s="33" t="str">
        <f>IFERROR(__xludf.DUMMYFUNCTION("LEFT(REGEXREPLACE($H84, ""(?i)^8301(E000|E100|E200|E300)?"", """"), 4)"),"E90F")</f>
        <v>E90F</v>
      </c>
      <c r="B84" s="34" t="str">
        <f>IFERROR(__xludf.DUMMYFUNCTION("REGEXREPLACE($H84, ""(?i)^8301(E000|E100|E200|E300)?"", """")"),"E90F000F0EEF7AEC5C022814281448ABB0")</f>
        <v>E90F000F0EEF7AEC5C022814281448ABB0</v>
      </c>
      <c r="C84" s="36" t="s">
        <v>18</v>
      </c>
      <c r="D84" s="36" t="s">
        <v>512</v>
      </c>
      <c r="E84" s="36" t="s">
        <v>75</v>
      </c>
      <c r="F84" s="36" t="s">
        <v>120</v>
      </c>
      <c r="G84" s="37">
        <v>46219.0</v>
      </c>
      <c r="H84" s="38" t="s">
        <v>327</v>
      </c>
      <c r="I84" s="36"/>
      <c r="J84" s="39" t="str">
        <f t="shared" si="2"/>
        <v>0x0F</v>
      </c>
      <c r="K84" s="40" t="str">
        <f t="shared" si="3"/>
        <v>0x00</v>
      </c>
      <c r="L84" s="40" t="str">
        <f t="shared" si="4"/>
        <v>0x0F</v>
      </c>
      <c r="M84" s="42">
        <v>1.0</v>
      </c>
      <c r="N84" s="42" t="str">
        <f t="shared" si="112"/>
        <v>0x0E</v>
      </c>
      <c r="O84" s="48" t="str">
        <f t="shared" si="113"/>
        <v>0xEF</v>
      </c>
      <c r="P84" s="48"/>
      <c r="Q84" s="48"/>
      <c r="R84" s="42"/>
      <c r="S84" s="48"/>
      <c r="T84" s="48"/>
      <c r="U84" s="48"/>
      <c r="V84" s="40">
        <v>13.0</v>
      </c>
      <c r="W84" s="40" t="str">
        <f t="shared" si="110"/>
        <v>0x7A</v>
      </c>
      <c r="X84" s="40" t="str">
        <f t="shared" ref="X84:AF84" si="114">"0x" &amp; MID($B84,$V84  + 2*(COLUMN() - COLUMN($W84)), 2)</f>
        <v>0xEC</v>
      </c>
      <c r="Y84" s="40" t="str">
        <f t="shared" si="114"/>
        <v>0x5C</v>
      </c>
      <c r="Z84" s="40" t="str">
        <f t="shared" si="114"/>
        <v>0x02</v>
      </c>
      <c r="AA84" s="40" t="str">
        <f t="shared" si="114"/>
        <v>0x28</v>
      </c>
      <c r="AB84" s="40" t="str">
        <f t="shared" si="114"/>
        <v>0x14</v>
      </c>
      <c r="AC84" s="40" t="str">
        <f t="shared" si="114"/>
        <v>0x28</v>
      </c>
      <c r="AD84" s="40" t="str">
        <f t="shared" si="114"/>
        <v>0x14</v>
      </c>
      <c r="AE84" s="40" t="str">
        <f t="shared" si="114"/>
        <v>0x48</v>
      </c>
      <c r="AF84" s="40" t="str">
        <f t="shared" si="114"/>
        <v>0xAB</v>
      </c>
      <c r="AG84" s="40"/>
      <c r="AH84" s="40"/>
      <c r="AI84" s="40"/>
      <c r="AJ84" s="40"/>
      <c r="AK84" s="40"/>
      <c r="AL84" s="40"/>
      <c r="AM84" s="40"/>
      <c r="AN84" s="75" t="str">
        <f t="shared" si="115"/>
        <v>0xB0</v>
      </c>
    </row>
    <row r="85">
      <c r="A85" s="51" t="str">
        <f>IFERROR(__xludf.DUMMYFUNCTION("LEFT(REGEXREPLACE($H85, ""(?i)^8301(E000|E100|E200|E300)?"", """"), 4)"),"E913")</f>
        <v>E913</v>
      </c>
      <c r="B85" s="52" t="str">
        <f>IFERROR(__xludf.DUMMYFUNCTION("REGEXREPLACE($H85, ""(?i)^8301(E000|E100|E200|E300)?"", """")"),"E913000F0FBDA4A4A4A47AEC5C022915291548ABB0")</f>
        <v>E913000F0FBDA4A4A4A47AEC5C022915291548ABB0</v>
      </c>
      <c r="C85" s="65" t="s">
        <v>18</v>
      </c>
      <c r="D85" s="65" t="s">
        <v>518</v>
      </c>
      <c r="E85" s="65" t="s">
        <v>75</v>
      </c>
      <c r="F85" s="65" t="s">
        <v>120</v>
      </c>
      <c r="G85" s="67">
        <v>46219.0</v>
      </c>
      <c r="H85" s="68" t="s">
        <v>414</v>
      </c>
      <c r="I85" s="65"/>
      <c r="J85" s="57" t="str">
        <f t="shared" si="2"/>
        <v>0x13</v>
      </c>
      <c r="K85" s="58" t="str">
        <f t="shared" si="3"/>
        <v>0x00</v>
      </c>
      <c r="L85" s="58" t="str">
        <f t="shared" si="4"/>
        <v>0x0F</v>
      </c>
      <c r="M85" s="59">
        <v>4.0</v>
      </c>
      <c r="N85" s="59" t="str">
        <f t="shared" si="112"/>
        <v>0x0F</v>
      </c>
      <c r="O85" s="71" t="str">
        <f t="shared" si="113"/>
        <v>0xBD</v>
      </c>
      <c r="P85" s="71" t="str">
        <f t="shared" ref="P85:P87" si="117">"0x"&amp;MID($B85,13,2)</f>
        <v>0xA4</v>
      </c>
      <c r="Q85" s="71" t="str">
        <f t="shared" ref="Q85:Q87" si="118">"0x"&amp;MID($B85,15,2)</f>
        <v>0xA4</v>
      </c>
      <c r="R85" s="59"/>
      <c r="S85" s="71" t="str">
        <f t="shared" ref="S85:S87" si="119">"0x"&amp;MID($B85,17,2)</f>
        <v>0xA4</v>
      </c>
      <c r="T85" s="71" t="str">
        <f t="shared" ref="T85:T87" si="120">"0x"&amp;MID($B85,19,2)</f>
        <v>0xA4</v>
      </c>
      <c r="U85" s="71"/>
      <c r="V85" s="58">
        <v>21.0</v>
      </c>
      <c r="W85" s="58" t="str">
        <f t="shared" si="110"/>
        <v>0x7A</v>
      </c>
      <c r="X85" s="58" t="str">
        <f t="shared" ref="X85:AF85" si="116">"0x" &amp; MID($B85,$V85  + 2*(COLUMN() - COLUMN($W85)), 2)</f>
        <v>0xEC</v>
      </c>
      <c r="Y85" s="58" t="str">
        <f t="shared" si="116"/>
        <v>0x5C</v>
      </c>
      <c r="Z85" s="58" t="str">
        <f t="shared" si="116"/>
        <v>0x02</v>
      </c>
      <c r="AA85" s="58" t="str">
        <f t="shared" si="116"/>
        <v>0x29</v>
      </c>
      <c r="AB85" s="58" t="str">
        <f t="shared" si="116"/>
        <v>0x15</v>
      </c>
      <c r="AC85" s="58" t="str">
        <f t="shared" si="116"/>
        <v>0x29</v>
      </c>
      <c r="AD85" s="58" t="str">
        <f t="shared" si="116"/>
        <v>0x15</v>
      </c>
      <c r="AE85" s="58" t="str">
        <f t="shared" si="116"/>
        <v>0x48</v>
      </c>
      <c r="AF85" s="58" t="str">
        <f t="shared" si="116"/>
        <v>0xAB</v>
      </c>
      <c r="AG85" s="58"/>
      <c r="AH85" s="58"/>
      <c r="AI85" s="58"/>
      <c r="AJ85" s="58"/>
      <c r="AK85" s="58"/>
      <c r="AL85" s="58"/>
      <c r="AM85" s="58"/>
      <c r="AN85" s="74" t="str">
        <f t="shared" ref="AN85:AN87" si="122">"0x"&amp;MID($B85,41,2)</f>
        <v>0xB0</v>
      </c>
    </row>
    <row r="86">
      <c r="A86" s="33" t="str">
        <f>IFERROR(__xludf.DUMMYFUNCTION("LEFT(REGEXREPLACE($H86, ""(?i)^8301(E000|E100|E200|E300)?"", """"), 4)"),"E913")</f>
        <v>E913</v>
      </c>
      <c r="B86" s="34" t="str">
        <f>IFERROR(__xludf.DUMMYFUNCTION("REGEXREPLACE($H86, ""(?i)^8301(E000|E100|E200|E300)?"", """")"),"E91300440FBDB1ADB1AD7AEC5C062915291548ABB0")</f>
        <v>E91300440FBDB1ADB1AD7AEC5C062915291548ABB0</v>
      </c>
      <c r="C86" s="36" t="s">
        <v>18</v>
      </c>
      <c r="D86" s="36" t="s">
        <v>518</v>
      </c>
      <c r="E86" s="36" t="s">
        <v>75</v>
      </c>
      <c r="F86" s="36" t="s">
        <v>120</v>
      </c>
      <c r="G86" s="37">
        <v>46228.0</v>
      </c>
      <c r="H86" s="38" t="s">
        <v>416</v>
      </c>
      <c r="I86" s="36"/>
      <c r="J86" s="39" t="str">
        <f t="shared" si="2"/>
        <v>0x13</v>
      </c>
      <c r="K86" s="40" t="str">
        <f t="shared" si="3"/>
        <v>0x00</v>
      </c>
      <c r="L86" s="40" t="str">
        <f t="shared" si="4"/>
        <v>0x44</v>
      </c>
      <c r="M86" s="42">
        <v>4.0</v>
      </c>
      <c r="N86" s="42" t="str">
        <f t="shared" si="112"/>
        <v>0x0F</v>
      </c>
      <c r="O86" s="48" t="str">
        <f t="shared" si="113"/>
        <v>0xBD</v>
      </c>
      <c r="P86" s="48" t="str">
        <f t="shared" si="117"/>
        <v>0xB1</v>
      </c>
      <c r="Q86" s="48" t="str">
        <f t="shared" si="118"/>
        <v>0xAD</v>
      </c>
      <c r="R86" s="42"/>
      <c r="S86" s="48" t="str">
        <f t="shared" si="119"/>
        <v>0xB1</v>
      </c>
      <c r="T86" s="48" t="str">
        <f t="shared" si="120"/>
        <v>0xAD</v>
      </c>
      <c r="U86" s="48"/>
      <c r="V86" s="40">
        <v>21.0</v>
      </c>
      <c r="W86" s="40" t="str">
        <f t="shared" si="110"/>
        <v>0x7A</v>
      </c>
      <c r="X86" s="40" t="str">
        <f t="shared" ref="X86:AF86" si="121">"0x" &amp; MID($B86,$V86  + 2*(COLUMN() - COLUMN($W86)), 2)</f>
        <v>0xEC</v>
      </c>
      <c r="Y86" s="40" t="str">
        <f t="shared" si="121"/>
        <v>0x5C</v>
      </c>
      <c r="Z86" s="40" t="str">
        <f t="shared" si="121"/>
        <v>0x06</v>
      </c>
      <c r="AA86" s="40" t="str">
        <f t="shared" si="121"/>
        <v>0x29</v>
      </c>
      <c r="AB86" s="40" t="str">
        <f t="shared" si="121"/>
        <v>0x15</v>
      </c>
      <c r="AC86" s="40" t="str">
        <f t="shared" si="121"/>
        <v>0x29</v>
      </c>
      <c r="AD86" s="40" t="str">
        <f t="shared" si="121"/>
        <v>0x15</v>
      </c>
      <c r="AE86" s="40" t="str">
        <f t="shared" si="121"/>
        <v>0x48</v>
      </c>
      <c r="AF86" s="40" t="str">
        <f t="shared" si="121"/>
        <v>0xAB</v>
      </c>
      <c r="AG86" s="40"/>
      <c r="AH86" s="40"/>
      <c r="AI86" s="40"/>
      <c r="AJ86" s="40"/>
      <c r="AK86" s="40"/>
      <c r="AL86" s="40"/>
      <c r="AM86" s="40"/>
      <c r="AN86" s="64" t="str">
        <f t="shared" si="122"/>
        <v>0xB0</v>
      </c>
    </row>
    <row r="87">
      <c r="A87" s="51" t="str">
        <f>IFERROR(__xludf.DUMMYFUNCTION("LEFT(REGEXREPLACE($H87, ""(?i)^8301(E000|E100|E200|E300)?"", """"), 4)"),"E913")</f>
        <v>E913</v>
      </c>
      <c r="B87" s="52" t="str">
        <f>IFERROR(__xludf.DUMMYFUNCTION("REGEXREPLACE($H87, ""(?i)^8301(E000|E100|E200|E300)?"", """")"),"E91300420FBDB5AFB5AF7AEC5C0A2915291548ABB0")</f>
        <v>E91300420FBDB5AFB5AF7AEC5C0A2915291548ABB0</v>
      </c>
      <c r="C87" s="65" t="s">
        <v>18</v>
      </c>
      <c r="D87" s="65" t="s">
        <v>518</v>
      </c>
      <c r="E87" s="65" t="s">
        <v>106</v>
      </c>
      <c r="F87" s="65" t="s">
        <v>175</v>
      </c>
      <c r="G87" s="67">
        <v>46220.0</v>
      </c>
      <c r="H87" s="68" t="s">
        <v>415</v>
      </c>
      <c r="I87" s="65"/>
      <c r="J87" s="57" t="str">
        <f t="shared" si="2"/>
        <v>0x13</v>
      </c>
      <c r="K87" s="58" t="str">
        <f t="shared" si="3"/>
        <v>0x00</v>
      </c>
      <c r="L87" s="58" t="str">
        <f t="shared" si="4"/>
        <v>0x42</v>
      </c>
      <c r="M87" s="59">
        <v>4.0</v>
      </c>
      <c r="N87" s="59" t="str">
        <f t="shared" si="112"/>
        <v>0x0F</v>
      </c>
      <c r="O87" s="71" t="str">
        <f t="shared" si="113"/>
        <v>0xBD</v>
      </c>
      <c r="P87" s="71" t="str">
        <f t="shared" si="117"/>
        <v>0xB5</v>
      </c>
      <c r="Q87" s="71" t="str">
        <f t="shared" si="118"/>
        <v>0xAF</v>
      </c>
      <c r="R87" s="59"/>
      <c r="S87" s="71" t="str">
        <f t="shared" si="119"/>
        <v>0xB5</v>
      </c>
      <c r="T87" s="71" t="str">
        <f t="shared" si="120"/>
        <v>0xAF</v>
      </c>
      <c r="U87" s="71"/>
      <c r="V87" s="58">
        <v>21.0</v>
      </c>
      <c r="W87" s="58" t="str">
        <f t="shared" si="110"/>
        <v>0x7A</v>
      </c>
      <c r="X87" s="58" t="str">
        <f t="shared" ref="X87:AF87" si="123">"0x" &amp; MID($B87,$V87  + 2*(COLUMN() - COLUMN($W87)), 2)</f>
        <v>0xEC</v>
      </c>
      <c r="Y87" s="58" t="str">
        <f t="shared" si="123"/>
        <v>0x5C</v>
      </c>
      <c r="Z87" s="58" t="str">
        <f t="shared" si="123"/>
        <v>0x0A</v>
      </c>
      <c r="AA87" s="58" t="str">
        <f t="shared" si="123"/>
        <v>0x29</v>
      </c>
      <c r="AB87" s="58" t="str">
        <f t="shared" si="123"/>
        <v>0x15</v>
      </c>
      <c r="AC87" s="58" t="str">
        <f t="shared" si="123"/>
        <v>0x29</v>
      </c>
      <c r="AD87" s="58" t="str">
        <f t="shared" si="123"/>
        <v>0x15</v>
      </c>
      <c r="AE87" s="58" t="str">
        <f t="shared" si="123"/>
        <v>0x48</v>
      </c>
      <c r="AF87" s="58" t="str">
        <f t="shared" si="123"/>
        <v>0xAB</v>
      </c>
      <c r="AG87" s="58"/>
      <c r="AH87" s="58"/>
      <c r="AI87" s="58"/>
      <c r="AJ87" s="58"/>
      <c r="AK87" s="58"/>
      <c r="AL87" s="58"/>
      <c r="AM87" s="58"/>
      <c r="AN87" s="74" t="str">
        <f t="shared" si="122"/>
        <v>0xB0</v>
      </c>
    </row>
    <row r="88">
      <c r="A88" s="33" t="str">
        <f>IFERROR(__xludf.DUMMYFUNCTION("LEFT(REGEXREPLACE($H88, ""(?i)^8301(E000|E100|E200|E300)?"", """"), 4)"),"E90F")</f>
        <v>E90F</v>
      </c>
      <c r="B88" s="34" t="str">
        <f>IFERROR(__xludf.DUMMYFUNCTION("REGEXREPLACE($H88, ""(?i)^8301(E000|E100|E200|E300)?"", """")"),"E90F00480EEF7AEC5C0D2814281448ABB0")</f>
        <v>E90F00480EEF7AEC5C0D2814281448ABB0</v>
      </c>
      <c r="C88" s="36" t="s">
        <v>18</v>
      </c>
      <c r="D88" s="36" t="s">
        <v>510</v>
      </c>
      <c r="E88" s="36" t="s">
        <v>217</v>
      </c>
      <c r="F88" s="36" t="s">
        <v>218</v>
      </c>
      <c r="G88" s="37">
        <v>46244.0</v>
      </c>
      <c r="H88" s="38" t="s">
        <v>444</v>
      </c>
      <c r="I88" s="36"/>
      <c r="J88" s="39" t="str">
        <f t="shared" si="2"/>
        <v>0x0F</v>
      </c>
      <c r="K88" s="40" t="str">
        <f t="shared" si="3"/>
        <v>0x00</v>
      </c>
      <c r="L88" s="40" t="str">
        <f t="shared" si="4"/>
        <v>0x48</v>
      </c>
      <c r="M88" s="42">
        <v>1.0</v>
      </c>
      <c r="N88" s="42" t="str">
        <f t="shared" si="112"/>
        <v>0x0E</v>
      </c>
      <c r="O88" s="48" t="str">
        <f t="shared" si="113"/>
        <v>0xEF</v>
      </c>
      <c r="P88" s="48"/>
      <c r="Q88" s="48"/>
      <c r="R88" s="42"/>
      <c r="S88" s="48"/>
      <c r="T88" s="48"/>
      <c r="U88" s="48"/>
      <c r="V88" s="40">
        <v>13.0</v>
      </c>
      <c r="W88" s="40" t="str">
        <f t="shared" si="110"/>
        <v>0x7A</v>
      </c>
      <c r="X88" s="40" t="str">
        <f t="shared" ref="X88:AF88" si="124">"0x" &amp; MID($B88,$V88  + 2*(COLUMN() - COLUMN($W88)), 2)</f>
        <v>0xEC</v>
      </c>
      <c r="Y88" s="40" t="str">
        <f t="shared" si="124"/>
        <v>0x5C</v>
      </c>
      <c r="Z88" s="40" t="str">
        <f t="shared" si="124"/>
        <v>0x0D</v>
      </c>
      <c r="AA88" s="40" t="str">
        <f t="shared" si="124"/>
        <v>0x28</v>
      </c>
      <c r="AB88" s="40" t="str">
        <f t="shared" si="124"/>
        <v>0x14</v>
      </c>
      <c r="AC88" s="40" t="str">
        <f t="shared" si="124"/>
        <v>0x28</v>
      </c>
      <c r="AD88" s="40" t="str">
        <f t="shared" si="124"/>
        <v>0x14</v>
      </c>
      <c r="AE88" s="40" t="str">
        <f t="shared" si="124"/>
        <v>0x48</v>
      </c>
      <c r="AF88" s="40" t="str">
        <f t="shared" si="124"/>
        <v>0xAB</v>
      </c>
      <c r="AG88" s="40"/>
      <c r="AH88" s="40"/>
      <c r="AI88" s="40"/>
      <c r="AJ88" s="40"/>
      <c r="AK88" s="40"/>
      <c r="AL88" s="40"/>
      <c r="AM88" s="40"/>
      <c r="AN88" s="75" t="str">
        <f>"0x"&amp;MID($B88,33,2)</f>
        <v>0xB0</v>
      </c>
    </row>
    <row r="89">
      <c r="A89" s="51" t="str">
        <f>IFERROR(__xludf.DUMMYFUNCTION("LEFT(REGEXREPLACE($H89, ""(?i)^8301(E000|E100|E200|E300)?"", """"), 4)"),"E912")</f>
        <v>E912</v>
      </c>
      <c r="B89" s="52" t="str">
        <f>IFERROR(__xludf.DUMMYFUNCTION("REGEXREPLACE($H89, ""(?i)^8301(E000|E100|E200|E300)?"", """")"),"E91200010FBDBCBCBCBC7AEC5C982915291548AB")</f>
        <v>E91200010FBDBCBCBCBC7AEC5C982915291548AB</v>
      </c>
      <c r="C89" s="65" t="s">
        <v>18</v>
      </c>
      <c r="D89" s="65" t="s">
        <v>517</v>
      </c>
      <c r="E89" s="65" t="s">
        <v>106</v>
      </c>
      <c r="F89" s="65" t="s">
        <v>107</v>
      </c>
      <c r="G89" s="67">
        <v>46220.0</v>
      </c>
      <c r="H89" s="68" t="s">
        <v>404</v>
      </c>
      <c r="I89" s="65"/>
      <c r="J89" s="57" t="str">
        <f t="shared" si="2"/>
        <v>0x12</v>
      </c>
      <c r="K89" s="58" t="str">
        <f t="shared" si="3"/>
        <v>0x00</v>
      </c>
      <c r="L89" s="58" t="str">
        <f t="shared" si="4"/>
        <v>0x01</v>
      </c>
      <c r="M89" s="59">
        <v>4.0</v>
      </c>
      <c r="N89" s="59" t="str">
        <f t="shared" si="112"/>
        <v>0x0F</v>
      </c>
      <c r="O89" s="71" t="str">
        <f t="shared" si="113"/>
        <v>0xBD</v>
      </c>
      <c r="P89" s="71" t="str">
        <f t="shared" ref="P89:P92" si="126">"0x"&amp;MID($B89,13,2)</f>
        <v>0xBC</v>
      </c>
      <c r="Q89" s="71" t="str">
        <f t="shared" ref="Q89:Q91" si="127">"0x"&amp;MID($B89,15,2)</f>
        <v>0xBC</v>
      </c>
      <c r="R89" s="59"/>
      <c r="S89" s="71" t="str">
        <f t="shared" ref="S89:S91" si="128">"0x"&amp;MID($B89,17,2)</f>
        <v>0xBC</v>
      </c>
      <c r="T89" s="71" t="str">
        <f t="shared" ref="T89:T91" si="129">"0x"&amp;MID($B89,19,2)</f>
        <v>0xBC</v>
      </c>
      <c r="U89" s="71"/>
      <c r="V89" s="58">
        <v>21.0</v>
      </c>
      <c r="W89" s="58" t="str">
        <f t="shared" si="110"/>
        <v>0x7A</v>
      </c>
      <c r="X89" s="58" t="str">
        <f t="shared" ref="X89:AF89" si="125">"0x" &amp; MID($B89,$V89  + 2*(COLUMN() - COLUMN($W89)), 2)</f>
        <v>0xEC</v>
      </c>
      <c r="Y89" s="58" t="str">
        <f t="shared" si="125"/>
        <v>0x5C</v>
      </c>
      <c r="Z89" s="58" t="str">
        <f t="shared" si="125"/>
        <v>0x98</v>
      </c>
      <c r="AA89" s="58" t="str">
        <f t="shared" si="125"/>
        <v>0x29</v>
      </c>
      <c r="AB89" s="58" t="str">
        <f t="shared" si="125"/>
        <v>0x15</v>
      </c>
      <c r="AC89" s="58" t="str">
        <f t="shared" si="125"/>
        <v>0x29</v>
      </c>
      <c r="AD89" s="58" t="str">
        <f t="shared" si="125"/>
        <v>0x15</v>
      </c>
      <c r="AE89" s="58" t="str">
        <f t="shared" si="125"/>
        <v>0x48</v>
      </c>
      <c r="AF89" s="58" t="str">
        <f t="shared" si="125"/>
        <v>0xAB</v>
      </c>
      <c r="AG89" s="58"/>
      <c r="AH89" s="58"/>
      <c r="AI89" s="58"/>
      <c r="AJ89" s="58"/>
      <c r="AK89" s="58"/>
      <c r="AL89" s="58"/>
      <c r="AM89" s="58"/>
      <c r="AN89" s="74"/>
    </row>
    <row r="90">
      <c r="A90" s="33" t="str">
        <f>IFERROR(__xludf.DUMMYFUNCTION("LEFT(REGEXREPLACE($H90, ""(?i)^8301(E000|E100|E200|E300)?"", """"), 4)"),"E90C")</f>
        <v>E90C</v>
      </c>
      <c r="B90" s="34" t="str">
        <f>IFERROR(__xludf.DUMMYFUNCTION("REGEXREPLACE($H90, ""(?i)^8301(E000|E100|E200|E300)?"", """")"),"E90C00190FB5B1A4B5B2307B40B0")</f>
        <v>E90C00190FB5B1A4B5B2307B40B0</v>
      </c>
      <c r="C90" s="36" t="s">
        <v>14</v>
      </c>
      <c r="D90" s="36" t="s">
        <v>118</v>
      </c>
      <c r="E90" s="36" t="s">
        <v>129</v>
      </c>
      <c r="F90" s="36" t="s">
        <v>137</v>
      </c>
      <c r="G90" s="37">
        <v>46207.0</v>
      </c>
      <c r="H90" s="44" t="s">
        <v>250</v>
      </c>
      <c r="I90" s="36"/>
      <c r="J90" s="39" t="str">
        <f t="shared" si="2"/>
        <v>0x0C</v>
      </c>
      <c r="K90" s="40" t="str">
        <f t="shared" si="3"/>
        <v>0x00</v>
      </c>
      <c r="L90" s="40" t="str">
        <f t="shared" si="4"/>
        <v>0x19</v>
      </c>
      <c r="M90" s="42">
        <v>5.0</v>
      </c>
      <c r="N90" s="42" t="str">
        <f t="shared" si="112"/>
        <v>0x0F</v>
      </c>
      <c r="O90" s="48" t="str">
        <f t="shared" si="113"/>
        <v>0xB5</v>
      </c>
      <c r="P90" s="48" t="str">
        <f t="shared" si="126"/>
        <v>0xB1</v>
      </c>
      <c r="Q90" s="48" t="str">
        <f t="shared" si="127"/>
        <v>0xA4</v>
      </c>
      <c r="R90" s="42"/>
      <c r="S90" s="48" t="str">
        <f t="shared" si="128"/>
        <v>0xB5</v>
      </c>
      <c r="T90" s="48" t="str">
        <f t="shared" si="129"/>
        <v>0xB2</v>
      </c>
      <c r="U90" s="48"/>
      <c r="V90" s="40">
        <v>15.0</v>
      </c>
      <c r="W90" s="47" t="str">
        <f t="shared" si="110"/>
        <v>0xA4</v>
      </c>
      <c r="X90" s="47" t="str">
        <f t="shared" ref="X90:AB90" si="130">"0x" &amp; MID($B90,$V90  + 2*(COLUMN() - COLUMN($W90)), 2)</f>
        <v>0xB5</v>
      </c>
      <c r="Y90" s="47" t="str">
        <f t="shared" si="130"/>
        <v>0xB2</v>
      </c>
      <c r="Z90" s="47" t="str">
        <f t="shared" si="130"/>
        <v>0x30</v>
      </c>
      <c r="AA90" s="47" t="str">
        <f t="shared" si="130"/>
        <v>0x7B</v>
      </c>
      <c r="AB90" s="47" t="str">
        <f t="shared" si="130"/>
        <v>0x40</v>
      </c>
      <c r="AC90" s="47"/>
      <c r="AD90" s="47"/>
      <c r="AE90" s="47"/>
      <c r="AF90" s="40"/>
      <c r="AG90" s="40"/>
      <c r="AH90" s="40"/>
      <c r="AI90" s="40"/>
      <c r="AJ90" s="40"/>
      <c r="AK90" s="40"/>
      <c r="AL90" s="40"/>
      <c r="AM90" s="40"/>
      <c r="AN90" s="64" t="str">
        <f t="shared" ref="AN90:AN91" si="132">"0x"&amp;MID($B90,27,2)</f>
        <v>0xB0</v>
      </c>
    </row>
    <row r="91">
      <c r="A91" s="51" t="str">
        <f>IFERROR(__xludf.DUMMYFUNCTION("LEFT(REGEXREPLACE($H91, ""(?i)^8301(E000|E100|E200|E300)?"", """"), 4)"),"E90C")</f>
        <v>E90C</v>
      </c>
      <c r="B91" s="52" t="str">
        <f>IFERROR(__xludf.DUMMYFUNCTION("REGEXREPLACE($H91, ""(?i)^8301(E000|E100|E200|E300)?"", """")"),"E90C000F0FB1B9B5B1A2307B7DB0")</f>
        <v>E90C000F0FB1B9B5B1A2307B7DB0</v>
      </c>
      <c r="C91" s="65" t="s">
        <v>14</v>
      </c>
      <c r="D91" s="65" t="s">
        <v>472</v>
      </c>
      <c r="E91" s="65" t="s">
        <v>75</v>
      </c>
      <c r="F91" s="65" t="s">
        <v>120</v>
      </c>
      <c r="G91" s="67">
        <v>46219.0</v>
      </c>
      <c r="H91" s="68" t="s">
        <v>248</v>
      </c>
      <c r="I91" s="65"/>
      <c r="J91" s="57" t="str">
        <f t="shared" si="2"/>
        <v>0x0C</v>
      </c>
      <c r="K91" s="58" t="str">
        <f t="shared" si="3"/>
        <v>0x00</v>
      </c>
      <c r="L91" s="58" t="str">
        <f t="shared" si="4"/>
        <v>0x0F</v>
      </c>
      <c r="M91" s="59">
        <v>5.0</v>
      </c>
      <c r="N91" s="59" t="str">
        <f t="shared" si="112"/>
        <v>0x0F</v>
      </c>
      <c r="O91" s="71" t="str">
        <f t="shared" si="113"/>
        <v>0xB1</v>
      </c>
      <c r="P91" s="71" t="str">
        <f t="shared" si="126"/>
        <v>0xB9</v>
      </c>
      <c r="Q91" s="71" t="str">
        <f t="shared" si="127"/>
        <v>0xB5</v>
      </c>
      <c r="R91" s="59"/>
      <c r="S91" s="71" t="str">
        <f t="shared" si="128"/>
        <v>0xB1</v>
      </c>
      <c r="T91" s="71" t="str">
        <f t="shared" si="129"/>
        <v>0xA2</v>
      </c>
      <c r="U91" s="71"/>
      <c r="V91" s="58">
        <v>15.0</v>
      </c>
      <c r="W91" s="62" t="str">
        <f t="shared" si="110"/>
        <v>0xB5</v>
      </c>
      <c r="X91" s="62" t="str">
        <f t="shared" ref="X91:AB91" si="131">"0x" &amp; MID($B91,$V91  + 2*(COLUMN() - COLUMN($W91)), 2)</f>
        <v>0xB1</v>
      </c>
      <c r="Y91" s="62" t="str">
        <f t="shared" si="131"/>
        <v>0xA2</v>
      </c>
      <c r="Z91" s="62" t="str">
        <f t="shared" si="131"/>
        <v>0x30</v>
      </c>
      <c r="AA91" s="62" t="str">
        <f t="shared" si="131"/>
        <v>0x7B</v>
      </c>
      <c r="AB91" s="62" t="str">
        <f t="shared" si="131"/>
        <v>0x7D</v>
      </c>
      <c r="AC91" s="62"/>
      <c r="AD91" s="62"/>
      <c r="AE91" s="62"/>
      <c r="AF91" s="58"/>
      <c r="AG91" s="58"/>
      <c r="AH91" s="58"/>
      <c r="AI91" s="58"/>
      <c r="AJ91" s="58"/>
      <c r="AK91" s="58"/>
      <c r="AL91" s="58"/>
      <c r="AM91" s="58"/>
      <c r="AN91" s="74" t="str">
        <f t="shared" si="132"/>
        <v>0xB0</v>
      </c>
    </row>
    <row r="92">
      <c r="A92" s="33" t="str">
        <f>IFERROR(__xludf.DUMMYFUNCTION("LEFT(REGEXREPLACE($H92, ""(?i)^8301(E000|E100|E200|E300)?"", """"), 4)"),"E910")</f>
        <v>E910</v>
      </c>
      <c r="B92" s="34" t="str">
        <f>IFERROR(__xludf.DUMMYFUNCTION("REGEXREPLACE($H92, ""(?i)^8301(E000|E100|E200|E300)?"", """")"),"E91000120F4F4FD037F2D2412A06190100B9")</f>
        <v>E91000120F4F4FD037F2D2412A06190100B9</v>
      </c>
      <c r="C92" s="36" t="s">
        <v>25</v>
      </c>
      <c r="D92" s="36" t="s">
        <v>487</v>
      </c>
      <c r="E92" s="36" t="s">
        <v>129</v>
      </c>
      <c r="F92" s="36" t="s">
        <v>137</v>
      </c>
      <c r="G92" s="37">
        <v>46207.0</v>
      </c>
      <c r="H92" s="44" t="s">
        <v>340</v>
      </c>
      <c r="I92" s="36"/>
      <c r="J92" s="39" t="str">
        <f t="shared" si="2"/>
        <v>0x10</v>
      </c>
      <c r="K92" s="40" t="str">
        <f t="shared" si="3"/>
        <v>0x00</v>
      </c>
      <c r="L92" s="40" t="str">
        <f t="shared" si="4"/>
        <v>0x12</v>
      </c>
      <c r="M92" s="42">
        <v>2.0</v>
      </c>
      <c r="N92" s="42" t="str">
        <f t="shared" si="112"/>
        <v>0x0F</v>
      </c>
      <c r="O92" s="48" t="str">
        <f t="shared" si="113"/>
        <v>0x4F</v>
      </c>
      <c r="P92" s="48" t="str">
        <f t="shared" si="126"/>
        <v>0x4F</v>
      </c>
      <c r="Q92" s="48"/>
      <c r="R92" s="42"/>
      <c r="S92" s="48"/>
      <c r="T92" s="48"/>
      <c r="U92" s="48"/>
      <c r="V92" s="40">
        <v>15.0</v>
      </c>
      <c r="W92" s="40" t="str">
        <f t="shared" si="110"/>
        <v>0xD0</v>
      </c>
      <c r="X92" s="40" t="str">
        <f t="shared" ref="X92:AG92" si="133">"0x" &amp; MID($B92,$V92  + 2*(COLUMN() - COLUMN($W92)), 2)</f>
        <v>0x37</v>
      </c>
      <c r="Y92" s="40" t="str">
        <f t="shared" si="133"/>
        <v>0xF2</v>
      </c>
      <c r="Z92" s="40" t="str">
        <f t="shared" si="133"/>
        <v>0xD2</v>
      </c>
      <c r="AA92" s="40" t="str">
        <f t="shared" si="133"/>
        <v>0x41</v>
      </c>
      <c r="AB92" s="40" t="str">
        <f t="shared" si="133"/>
        <v>0x2A</v>
      </c>
      <c r="AC92" s="40" t="str">
        <f t="shared" si="133"/>
        <v>0x06</v>
      </c>
      <c r="AD92" s="40" t="str">
        <f t="shared" si="133"/>
        <v>0x19</v>
      </c>
      <c r="AE92" s="40" t="str">
        <f t="shared" si="133"/>
        <v>0x01</v>
      </c>
      <c r="AF92" s="40" t="str">
        <f t="shared" si="133"/>
        <v>0x00</v>
      </c>
      <c r="AG92" s="40" t="str">
        <f t="shared" si="133"/>
        <v>0xB9</v>
      </c>
      <c r="AH92" s="40"/>
      <c r="AI92" s="40"/>
      <c r="AJ92" s="40"/>
      <c r="AK92" s="40"/>
      <c r="AL92" s="40"/>
      <c r="AM92" s="40"/>
      <c r="AN92" s="75"/>
    </row>
    <row r="93">
      <c r="A93" s="51" t="str">
        <f>IFERROR(__xludf.DUMMYFUNCTION("LEFT(REGEXREPLACE($H93, ""(?i)^8301(E000|E100|E200|E300)?"", """"), 4)"),"E914")</f>
        <v>E914</v>
      </c>
      <c r="B93" s="52" t="str">
        <f>IFERROR(__xludf.DUMMYFUNCTION("REGEXREPLACE($H93, ""(?i)^8301(E000|E100|E200|E300)?"", """")"),"E914004FD037F0D23D0213060EF58983510EE40C80BB")</f>
        <v>E914004FD037F0D23D0213060EF58983510EE40C80BB</v>
      </c>
      <c r="C93" s="65" t="s">
        <v>60</v>
      </c>
      <c r="D93" s="65" t="s">
        <v>525</v>
      </c>
      <c r="E93" s="65" t="s">
        <v>129</v>
      </c>
      <c r="F93" s="65" t="s">
        <v>137</v>
      </c>
      <c r="G93" s="67">
        <v>46207.0</v>
      </c>
      <c r="H93" s="56" t="s">
        <v>433</v>
      </c>
      <c r="I93" s="65" t="s">
        <v>153</v>
      </c>
      <c r="J93" s="57" t="str">
        <f t="shared" si="2"/>
        <v>0x14</v>
      </c>
      <c r="K93" s="58" t="str">
        <f t="shared" si="3"/>
        <v>0x00</v>
      </c>
      <c r="L93" s="58" t="str">
        <f t="shared" si="4"/>
        <v>0x4F</v>
      </c>
      <c r="M93" s="59"/>
      <c r="N93" s="59"/>
      <c r="O93" s="71"/>
      <c r="P93" s="71"/>
      <c r="Q93" s="71"/>
      <c r="R93" s="59"/>
      <c r="S93" s="71"/>
      <c r="T93" s="71"/>
      <c r="U93" s="71"/>
      <c r="V93" s="58">
        <v>9.0</v>
      </c>
      <c r="W93" s="58" t="str">
        <f t="shared" si="110"/>
        <v>0xD0</v>
      </c>
      <c r="X93" s="58" t="str">
        <f t="shared" ref="X93:AM93" si="134">"0x" &amp; MID($B93,$V93  + 2*(COLUMN() - COLUMN($W93)), 2)</f>
        <v>0x37</v>
      </c>
      <c r="Y93" s="58" t="str">
        <f t="shared" si="134"/>
        <v>0xF0</v>
      </c>
      <c r="Z93" s="58" t="str">
        <f t="shared" si="134"/>
        <v>0xD2</v>
      </c>
      <c r="AA93" s="58" t="str">
        <f t="shared" si="134"/>
        <v>0x3D</v>
      </c>
      <c r="AB93" s="58" t="str">
        <f t="shared" si="134"/>
        <v>0x02</v>
      </c>
      <c r="AC93" s="58" t="str">
        <f t="shared" si="134"/>
        <v>0x13</v>
      </c>
      <c r="AD93" s="58" t="str">
        <f t="shared" si="134"/>
        <v>0x06</v>
      </c>
      <c r="AE93" s="58" t="str">
        <f t="shared" si="134"/>
        <v>0x0E</v>
      </c>
      <c r="AF93" s="58" t="str">
        <f t="shared" si="134"/>
        <v>0xF5</v>
      </c>
      <c r="AG93" s="58" t="str">
        <f t="shared" si="134"/>
        <v>0x89</v>
      </c>
      <c r="AH93" s="58" t="str">
        <f t="shared" si="134"/>
        <v>0x83</v>
      </c>
      <c r="AI93" s="58" t="str">
        <f t="shared" si="134"/>
        <v>0x51</v>
      </c>
      <c r="AJ93" s="58" t="str">
        <f t="shared" si="134"/>
        <v>0x0E</v>
      </c>
      <c r="AK93" s="58" t="str">
        <f t="shared" si="134"/>
        <v>0xE4</v>
      </c>
      <c r="AL93" s="58" t="str">
        <f t="shared" si="134"/>
        <v>0x0C</v>
      </c>
      <c r="AM93" s="58" t="str">
        <f t="shared" si="134"/>
        <v>0x80</v>
      </c>
      <c r="AN93" s="74" t="str">
        <f>"0x"&amp;MID($B93,43,2)</f>
        <v>0xBB</v>
      </c>
    </row>
    <row r="94">
      <c r="A94" s="33" t="str">
        <f>IFERROR(__xludf.DUMMYFUNCTION("LEFT(REGEXREPLACE($H94, ""(?i)^8301(E000|E100|E200|E300)?"", """"), 4)"),"E913")</f>
        <v>E913</v>
      </c>
      <c r="B94" s="34" t="str">
        <f>IFERROR(__xludf.DUMMYFUNCTION("REGEXREPLACE($H94, ""(?i)^8301(E000|E100|E200|E300)?"", """")"),"E9130044D037F0D23D0507000EF58983510EF50C46")</f>
        <v>E9130044D037F0D23D0507000EF58983510EF50C46</v>
      </c>
      <c r="C94" s="36" t="s">
        <v>60</v>
      </c>
      <c r="D94" s="36" t="s">
        <v>526</v>
      </c>
      <c r="E94" s="36" t="s">
        <v>106</v>
      </c>
      <c r="F94" s="36" t="s">
        <v>107</v>
      </c>
      <c r="G94" s="37">
        <v>46220.0</v>
      </c>
      <c r="H94" s="38" t="s">
        <v>417</v>
      </c>
      <c r="I94" s="36" t="s">
        <v>153</v>
      </c>
      <c r="J94" s="39" t="str">
        <f t="shared" si="2"/>
        <v>0x13</v>
      </c>
      <c r="K94" s="40" t="str">
        <f t="shared" si="3"/>
        <v>0x00</v>
      </c>
      <c r="L94" s="40" t="str">
        <f t="shared" si="4"/>
        <v>0x44</v>
      </c>
      <c r="M94" s="42"/>
      <c r="N94" s="42"/>
      <c r="O94" s="48"/>
      <c r="P94" s="48"/>
      <c r="Q94" s="48"/>
      <c r="R94" s="42"/>
      <c r="S94" s="72"/>
      <c r="T94" s="72"/>
      <c r="U94" s="72"/>
      <c r="V94" s="73">
        <v>9.0</v>
      </c>
      <c r="W94" s="47" t="str">
        <f t="shared" si="110"/>
        <v>0xD0</v>
      </c>
      <c r="X94" s="47" t="str">
        <f t="shared" ref="X94:AM94" si="135">"0x" &amp; MID($B94,$V94  + 2*(COLUMN() - COLUMN($W94)), 2)</f>
        <v>0x37</v>
      </c>
      <c r="Y94" s="47" t="str">
        <f t="shared" si="135"/>
        <v>0xF0</v>
      </c>
      <c r="Z94" s="47" t="str">
        <f t="shared" si="135"/>
        <v>0xD2</v>
      </c>
      <c r="AA94" s="47" t="str">
        <f t="shared" si="135"/>
        <v>0x3D</v>
      </c>
      <c r="AB94" s="47" t="str">
        <f t="shared" si="135"/>
        <v>0x05</v>
      </c>
      <c r="AC94" s="47" t="str">
        <f t="shared" si="135"/>
        <v>0x07</v>
      </c>
      <c r="AD94" s="47" t="str">
        <f t="shared" si="135"/>
        <v>0x00</v>
      </c>
      <c r="AE94" s="47" t="str">
        <f t="shared" si="135"/>
        <v>0x0E</v>
      </c>
      <c r="AF94" s="47" t="str">
        <f t="shared" si="135"/>
        <v>0xF5</v>
      </c>
      <c r="AG94" s="47" t="str">
        <f t="shared" si="135"/>
        <v>0x89</v>
      </c>
      <c r="AH94" s="47" t="str">
        <f t="shared" si="135"/>
        <v>0x83</v>
      </c>
      <c r="AI94" s="47" t="str">
        <f t="shared" si="135"/>
        <v>0x51</v>
      </c>
      <c r="AJ94" s="47" t="str">
        <f t="shared" si="135"/>
        <v>0x0E</v>
      </c>
      <c r="AK94" s="47" t="str">
        <f t="shared" si="135"/>
        <v>0xF5</v>
      </c>
      <c r="AL94" s="47" t="str">
        <f t="shared" si="135"/>
        <v>0x0C</v>
      </c>
      <c r="AM94" s="47" t="str">
        <f t="shared" si="135"/>
        <v>0x46</v>
      </c>
      <c r="AN94" s="64"/>
    </row>
    <row r="95">
      <c r="A95" s="51" t="str">
        <f>IFERROR(__xludf.DUMMYFUNCTION("LEFT(REGEXREPLACE($H95, ""(?i)^8301(E000|E100|E200|E300)?"", """"), 4)"),"E914")</f>
        <v>E914</v>
      </c>
      <c r="B95" s="52" t="str">
        <f>IFERROR(__xludf.DUMMYFUNCTION("REGEXREPLACE($H95, ""(?i)^8301(E000|E100|E200|E300)?"", """")"),"E914006AD037F0D23D040F010EED8983510EE70C80B0")</f>
        <v>E914006AD037F0D23D040F010EED8983510EE70C80B0</v>
      </c>
      <c r="C95" s="65" t="s">
        <v>30</v>
      </c>
      <c r="D95" s="53"/>
      <c r="E95" s="65" t="s">
        <v>129</v>
      </c>
      <c r="F95" s="65" t="s">
        <v>137</v>
      </c>
      <c r="G95" s="67">
        <v>46207.0</v>
      </c>
      <c r="H95" s="56" t="s">
        <v>435</v>
      </c>
      <c r="I95" s="65" t="s">
        <v>153</v>
      </c>
      <c r="J95" s="57" t="str">
        <f t="shared" si="2"/>
        <v>0x14</v>
      </c>
      <c r="K95" s="58" t="str">
        <f t="shared" si="3"/>
        <v>0x00</v>
      </c>
      <c r="L95" s="58" t="str">
        <f t="shared" si="4"/>
        <v>0x6A</v>
      </c>
      <c r="M95" s="82">
        <v>2.0</v>
      </c>
      <c r="N95" s="83" t="str">
        <f t="shared" ref="N95:N99" si="137">"0x"&amp;MID($B95,9,2)</f>
        <v>0xD0</v>
      </c>
      <c r="O95" s="84" t="str">
        <f t="shared" ref="O95:O99" si="138">"0x"&amp;MID($B95,11,2)</f>
        <v>0x37</v>
      </c>
      <c r="P95" s="84" t="str">
        <f t="shared" ref="P95:P98" si="139">"0x"&amp;MID($B95,13,2)</f>
        <v>0xF0</v>
      </c>
      <c r="Q95" s="85"/>
      <c r="R95" s="86"/>
      <c r="S95" s="85"/>
      <c r="T95" s="85"/>
      <c r="U95" s="85"/>
      <c r="V95" s="87">
        <v>15.0</v>
      </c>
      <c r="W95" s="58" t="str">
        <f t="shared" si="110"/>
        <v>0xD2</v>
      </c>
      <c r="X95" s="58" t="str">
        <f t="shared" ref="X95:AK95" si="136">"0x" &amp; MID($B95,$V95  + 2*(COLUMN() - COLUMN($W95)), 2)</f>
        <v>0x3D</v>
      </c>
      <c r="Y95" s="58" t="str">
        <f t="shared" si="136"/>
        <v>0x04</v>
      </c>
      <c r="Z95" s="58" t="str">
        <f t="shared" si="136"/>
        <v>0x0F</v>
      </c>
      <c r="AA95" s="58" t="str">
        <f t="shared" si="136"/>
        <v>0x01</v>
      </c>
      <c r="AB95" s="58" t="str">
        <f t="shared" si="136"/>
        <v>0x0E</v>
      </c>
      <c r="AC95" s="58" t="str">
        <f t="shared" si="136"/>
        <v>0xED</v>
      </c>
      <c r="AD95" s="58" t="str">
        <f t="shared" si="136"/>
        <v>0x89</v>
      </c>
      <c r="AE95" s="58" t="str">
        <f t="shared" si="136"/>
        <v>0x83</v>
      </c>
      <c r="AF95" s="58" t="str">
        <f t="shared" si="136"/>
        <v>0x51</v>
      </c>
      <c r="AG95" s="58" t="str">
        <f t="shared" si="136"/>
        <v>0x0E</v>
      </c>
      <c r="AH95" s="58" t="str">
        <f t="shared" si="136"/>
        <v>0xE7</v>
      </c>
      <c r="AI95" s="58" t="str">
        <f t="shared" si="136"/>
        <v>0x0C</v>
      </c>
      <c r="AJ95" s="58" t="str">
        <f t="shared" si="136"/>
        <v>0x80</v>
      </c>
      <c r="AK95" s="58" t="str">
        <f t="shared" si="136"/>
        <v>0xB0</v>
      </c>
      <c r="AL95" s="58"/>
      <c r="AM95" s="58"/>
      <c r="AN95" s="74" t="str">
        <f>"0x"&amp;MID($B95,43,2)</f>
        <v>0xB0</v>
      </c>
    </row>
    <row r="96">
      <c r="A96" s="33" t="str">
        <f>IFERROR(__xludf.DUMMYFUNCTION("LEFT(REGEXREPLACE($H96, ""(?i)^8301(E000|E100|E200|E300)?"", """"), 4)"),"E910")</f>
        <v>E910</v>
      </c>
      <c r="B96" s="34" t="str">
        <f>IFERROR(__xludf.DUMMYFUNCTION("REGEXREPLACE($H96, ""(?i)^8301(E000|E100|E200|E300)?"", """")"),"E91000060F5555F1A0D037F2D241C60300B0")</f>
        <v>E91000060F5555F1A0D037F2D241C60300B0</v>
      </c>
      <c r="C96" s="36" t="s">
        <v>47</v>
      </c>
      <c r="D96" s="36" t="s">
        <v>527</v>
      </c>
      <c r="E96" s="36" t="s">
        <v>129</v>
      </c>
      <c r="F96" s="69" t="s">
        <v>137</v>
      </c>
      <c r="G96" s="37">
        <v>46240.0</v>
      </c>
      <c r="H96" s="44" t="s">
        <v>351</v>
      </c>
      <c r="I96" s="36"/>
      <c r="J96" s="39" t="str">
        <f t="shared" si="2"/>
        <v>0x10</v>
      </c>
      <c r="K96" s="40" t="str">
        <f t="shared" si="3"/>
        <v>0x00</v>
      </c>
      <c r="L96" s="40" t="str">
        <f t="shared" si="4"/>
        <v>0x06</v>
      </c>
      <c r="M96" s="42">
        <v>2.0</v>
      </c>
      <c r="N96" s="42" t="str">
        <f t="shared" si="137"/>
        <v>0x0F</v>
      </c>
      <c r="O96" s="48" t="str">
        <f t="shared" si="138"/>
        <v>0x55</v>
      </c>
      <c r="P96" s="48" t="str">
        <f t="shared" si="139"/>
        <v>0x55</v>
      </c>
      <c r="Q96" s="48"/>
      <c r="R96" s="42"/>
      <c r="S96" s="48"/>
      <c r="T96" s="48"/>
      <c r="U96" s="48"/>
      <c r="V96" s="40">
        <v>15.0</v>
      </c>
      <c r="W96" s="40" t="str">
        <f t="shared" si="110"/>
        <v>0xF1</v>
      </c>
      <c r="X96" s="40" t="str">
        <f t="shared" ref="X96:AF96" si="140">"0x" &amp; MID($B96,$V96  + 2*(COLUMN() - COLUMN($W96)), 2)</f>
        <v>0xA0</v>
      </c>
      <c r="Y96" s="40" t="str">
        <f t="shared" si="140"/>
        <v>0xD0</v>
      </c>
      <c r="Z96" s="40" t="str">
        <f t="shared" si="140"/>
        <v>0x37</v>
      </c>
      <c r="AA96" s="40" t="str">
        <f t="shared" si="140"/>
        <v>0xF2</v>
      </c>
      <c r="AB96" s="40" t="str">
        <f t="shared" si="140"/>
        <v>0xD2</v>
      </c>
      <c r="AC96" s="40" t="str">
        <f t="shared" si="140"/>
        <v>0x41</v>
      </c>
      <c r="AD96" s="40" t="str">
        <f t="shared" si="140"/>
        <v>0xC6</v>
      </c>
      <c r="AE96" s="40" t="str">
        <f t="shared" si="140"/>
        <v>0x03</v>
      </c>
      <c r="AF96" s="40" t="str">
        <f t="shared" si="140"/>
        <v>0x00</v>
      </c>
      <c r="AG96" s="40"/>
      <c r="AH96" s="40"/>
      <c r="AI96" s="40"/>
      <c r="AJ96" s="40"/>
      <c r="AK96" s="40"/>
      <c r="AL96" s="40"/>
      <c r="AM96" s="40"/>
      <c r="AN96" s="75" t="str">
        <f t="shared" ref="AN96:AN98" si="142">"0x"&amp;MID($B96,35,2)</f>
        <v>0xB0</v>
      </c>
    </row>
    <row r="97">
      <c r="A97" s="51" t="str">
        <f>IFERROR(__xludf.DUMMYFUNCTION("LEFT(REGEXREPLACE($H97, ""(?i)^8301(E000|E100|E200|E300)?"", """"), 4)"),"E910")</f>
        <v>E910</v>
      </c>
      <c r="B97" s="52" t="str">
        <f>IFERROR(__xludf.DUMMYFUNCTION("REGEXREPLACE($H97, ""(?i)^8301(E000|E100|E200|E300)?"", """")"),"E91000010F5C55F4A0D037F2D241C60500B9")</f>
        <v>E91000010F5C55F4A0D037F2D241C60500B9</v>
      </c>
      <c r="C97" s="65" t="s">
        <v>30</v>
      </c>
      <c r="D97" s="65" t="s">
        <v>528</v>
      </c>
      <c r="E97" s="65" t="s">
        <v>129</v>
      </c>
      <c r="F97" s="65" t="s">
        <v>137</v>
      </c>
      <c r="G97" s="67">
        <v>46207.0</v>
      </c>
      <c r="H97" s="56" t="s">
        <v>333</v>
      </c>
      <c r="I97" s="65"/>
      <c r="J97" s="57" t="str">
        <f t="shared" si="2"/>
        <v>0x10</v>
      </c>
      <c r="K97" s="58" t="str">
        <f t="shared" si="3"/>
        <v>0x00</v>
      </c>
      <c r="L97" s="58" t="str">
        <f t="shared" si="4"/>
        <v>0x01</v>
      </c>
      <c r="M97" s="59">
        <v>2.0</v>
      </c>
      <c r="N97" s="59" t="str">
        <f t="shared" si="137"/>
        <v>0x0F</v>
      </c>
      <c r="O97" s="71" t="str">
        <f t="shared" si="138"/>
        <v>0x5C</v>
      </c>
      <c r="P97" s="71" t="str">
        <f t="shared" si="139"/>
        <v>0x55</v>
      </c>
      <c r="Q97" s="71"/>
      <c r="R97" s="59"/>
      <c r="S97" s="71"/>
      <c r="T97" s="71"/>
      <c r="U97" s="71"/>
      <c r="V97" s="58">
        <v>15.0</v>
      </c>
      <c r="W97" s="58" t="str">
        <f t="shared" si="110"/>
        <v>0xF4</v>
      </c>
      <c r="X97" s="58" t="str">
        <f t="shared" ref="X97:AF97" si="141">"0x" &amp; MID($B97,$V97  + 2*(COLUMN() - COLUMN($W97)), 2)</f>
        <v>0xA0</v>
      </c>
      <c r="Y97" s="58" t="str">
        <f t="shared" si="141"/>
        <v>0xD0</v>
      </c>
      <c r="Z97" s="58" t="str">
        <f t="shared" si="141"/>
        <v>0x37</v>
      </c>
      <c r="AA97" s="58" t="str">
        <f t="shared" si="141"/>
        <v>0xF2</v>
      </c>
      <c r="AB97" s="58" t="str">
        <f t="shared" si="141"/>
        <v>0xD2</v>
      </c>
      <c r="AC97" s="58" t="str">
        <f t="shared" si="141"/>
        <v>0x41</v>
      </c>
      <c r="AD97" s="58" t="str">
        <f t="shared" si="141"/>
        <v>0xC6</v>
      </c>
      <c r="AE97" s="58" t="str">
        <f t="shared" si="141"/>
        <v>0x05</v>
      </c>
      <c r="AF97" s="58" t="str">
        <f t="shared" si="141"/>
        <v>0x00</v>
      </c>
      <c r="AG97" s="58"/>
      <c r="AH97" s="58"/>
      <c r="AI97" s="58"/>
      <c r="AJ97" s="58"/>
      <c r="AK97" s="58"/>
      <c r="AL97" s="58"/>
      <c r="AM97" s="58"/>
      <c r="AN97" s="88" t="str">
        <f t="shared" si="142"/>
        <v>0xB9</v>
      </c>
    </row>
    <row r="98">
      <c r="A98" s="33" t="str">
        <f>IFERROR(__xludf.DUMMYFUNCTION("LEFT(REGEXREPLACE($H98, ""(?i)^8301(E000|E100|E200|E300)?"", """"), 4)"),"E910")</f>
        <v>E910</v>
      </c>
      <c r="B98" s="34" t="str">
        <f>IFERROR(__xludf.DUMMYFUNCTION("REGEXREPLACE($H98, ""(?i)^8301(E000|E100|E200|E300)?"", """")"),"E91000010F5353F5A0D037F2D241C60500B0")</f>
        <v>E91000010F5353F5A0D037F2D241C60500B0</v>
      </c>
      <c r="C98" s="36" t="s">
        <v>30</v>
      </c>
      <c r="D98" s="36"/>
      <c r="E98" s="36" t="s">
        <v>217</v>
      </c>
      <c r="F98" s="36" t="s">
        <v>218</v>
      </c>
      <c r="G98" s="37">
        <v>46244.0</v>
      </c>
      <c r="H98" s="38" t="s">
        <v>451</v>
      </c>
      <c r="I98" s="36"/>
      <c r="J98" s="39" t="str">
        <f t="shared" si="2"/>
        <v>0x10</v>
      </c>
      <c r="K98" s="40" t="str">
        <f t="shared" si="3"/>
        <v>0x00</v>
      </c>
      <c r="L98" s="40" t="str">
        <f t="shared" si="4"/>
        <v>0x01</v>
      </c>
      <c r="M98" s="42">
        <v>2.0</v>
      </c>
      <c r="N98" s="42" t="str">
        <f t="shared" si="137"/>
        <v>0x0F</v>
      </c>
      <c r="O98" s="48" t="str">
        <f t="shared" si="138"/>
        <v>0x53</v>
      </c>
      <c r="P98" s="48" t="str">
        <f t="shared" si="139"/>
        <v>0x53</v>
      </c>
      <c r="Q98" s="48"/>
      <c r="R98" s="42"/>
      <c r="S98" s="48"/>
      <c r="T98" s="48"/>
      <c r="U98" s="48"/>
      <c r="V98" s="40">
        <v>15.0</v>
      </c>
      <c r="W98" s="40" t="str">
        <f t="shared" si="110"/>
        <v>0xF5</v>
      </c>
      <c r="X98" s="40" t="str">
        <f t="shared" ref="X98:AF98" si="143">"0x" &amp; MID($B98,$V98  + 2*(COLUMN() - COLUMN($W98)), 2)</f>
        <v>0xA0</v>
      </c>
      <c r="Y98" s="40" t="str">
        <f t="shared" si="143"/>
        <v>0xD0</v>
      </c>
      <c r="Z98" s="40" t="str">
        <f t="shared" si="143"/>
        <v>0x37</v>
      </c>
      <c r="AA98" s="40" t="str">
        <f t="shared" si="143"/>
        <v>0xF2</v>
      </c>
      <c r="AB98" s="40" t="str">
        <f t="shared" si="143"/>
        <v>0xD2</v>
      </c>
      <c r="AC98" s="40" t="str">
        <f t="shared" si="143"/>
        <v>0x41</v>
      </c>
      <c r="AD98" s="40" t="str">
        <f t="shared" si="143"/>
        <v>0xC6</v>
      </c>
      <c r="AE98" s="40" t="str">
        <f t="shared" si="143"/>
        <v>0x05</v>
      </c>
      <c r="AF98" s="40" t="str">
        <f t="shared" si="143"/>
        <v>0x00</v>
      </c>
      <c r="AG98" s="40"/>
      <c r="AH98" s="40"/>
      <c r="AI98" s="40"/>
      <c r="AJ98" s="40"/>
      <c r="AK98" s="40"/>
      <c r="AL98" s="40"/>
      <c r="AM98" s="40"/>
      <c r="AN98" s="75" t="str">
        <f t="shared" si="142"/>
        <v>0xB0</v>
      </c>
    </row>
    <row r="99">
      <c r="A99" s="51" t="str">
        <f>IFERROR(__xludf.DUMMYFUNCTION("LEFT(REGEXREPLACE($H99, ""(?i)^8301(E000|E100|E200|E300)?"", """"), 4)"),"E904")</f>
        <v>E904</v>
      </c>
      <c r="B99" s="52" t="str">
        <f>IFERROR(__xludf.DUMMYFUNCTION("REGEXREPLACE($H99, ""(?i)^8301(E000|E100|E200|E300)?"", """")"),"E90400010EFD")</f>
        <v>E90400010EFD</v>
      </c>
      <c r="C99" s="65" t="s">
        <v>198</v>
      </c>
      <c r="D99" s="53"/>
      <c r="E99" s="65" t="s">
        <v>129</v>
      </c>
      <c r="F99" s="54" t="s">
        <v>130</v>
      </c>
      <c r="G99" s="67">
        <v>46240.0</v>
      </c>
      <c r="H99" s="56" t="s">
        <v>128</v>
      </c>
      <c r="I99" s="53"/>
      <c r="J99" s="57" t="str">
        <f t="shared" si="2"/>
        <v>0x04</v>
      </c>
      <c r="K99" s="58" t="str">
        <f t="shared" si="3"/>
        <v>0x00</v>
      </c>
      <c r="L99" s="58" t="str">
        <f t="shared" si="4"/>
        <v>0x01</v>
      </c>
      <c r="M99" s="59">
        <v>1.0</v>
      </c>
      <c r="N99" s="59" t="str">
        <f t="shared" si="137"/>
        <v>0x0E</v>
      </c>
      <c r="O99" s="71" t="str">
        <f t="shared" si="138"/>
        <v>0xFD</v>
      </c>
      <c r="P99" s="71"/>
      <c r="Q99" s="71"/>
      <c r="R99" s="59"/>
      <c r="S99" s="71"/>
      <c r="T99" s="71"/>
      <c r="U99" s="71"/>
      <c r="V99" s="63"/>
      <c r="W99" s="63"/>
      <c r="X99" s="63"/>
      <c r="Y99" s="63"/>
      <c r="Z99" s="63"/>
      <c r="AA99" s="63"/>
      <c r="AB99" s="63"/>
      <c r="AC99" s="63"/>
      <c r="AD99" s="63"/>
      <c r="AE99" s="63"/>
      <c r="AF99" s="63"/>
      <c r="AG99" s="63"/>
      <c r="AH99" s="63"/>
      <c r="AI99" s="63"/>
      <c r="AJ99" s="63"/>
      <c r="AK99" s="63"/>
      <c r="AL99" s="63"/>
      <c r="AM99" s="63"/>
      <c r="AN99" s="66"/>
    </row>
  </sheetData>
  <autoFilter ref="$A$1:$AN$99">
    <sortState ref="A1:AN99">
      <sortCondition ref="W1:W99"/>
      <sortCondition ref="C1:C99"/>
      <sortCondition ref="X1:X99"/>
      <sortCondition ref="Y1:Y99"/>
      <sortCondition ref="Z1:Z99"/>
      <sortCondition ref="AA1:AA99"/>
      <sortCondition ref="AB1:AB99"/>
      <sortCondition ref="AC1:AC99"/>
      <sortCondition ref="AD1:AD99"/>
      <sortCondition ref="AE1:AE99"/>
      <sortCondition ref="AF1:AF99"/>
      <sortCondition ref="AG1:AG99"/>
      <sortCondition ref="AH1:AH99"/>
      <sortCondition ref="AI1:AI99"/>
      <sortCondition ref="AJ1:AJ99"/>
      <sortCondition ref="AK1:AK99"/>
      <sortCondition ref="AL1:AL99"/>
      <sortCondition ref="AM1:AM99"/>
      <sortCondition ref="B1:B99"/>
      <sortCondition ref="A1:A99"/>
      <sortCondition ref="V1:V99"/>
      <sortCondition ref="N1:N99"/>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0"/>
    <col customWidth="1" min="2" max="2" width="10.5"/>
    <col customWidth="1" min="3" max="3" width="9.5"/>
    <col customWidth="1" min="4" max="4" width="10.5"/>
    <col customWidth="1" min="5" max="5" width="24.25"/>
    <col customWidth="1" min="6" max="6" width="45.0"/>
  </cols>
  <sheetData>
    <row r="1">
      <c r="A1" s="14" t="s">
        <v>44</v>
      </c>
      <c r="B1" s="16" t="s">
        <v>62</v>
      </c>
      <c r="C1" s="14" t="s">
        <v>67</v>
      </c>
      <c r="D1" s="14" t="s">
        <v>69</v>
      </c>
      <c r="E1" s="14" t="s">
        <v>70</v>
      </c>
      <c r="F1" s="14" t="s">
        <v>71</v>
      </c>
    </row>
    <row r="2">
      <c r="A2" s="18" t="s">
        <v>72</v>
      </c>
      <c r="B2" s="22" t="str">
        <f>IFERROR(__xludf.DUMMYFUNCTION("LEFT(REGEXREPLACE($A2, ""(?i)^8301(E000|E100|E200|E300)?"", """"), 4)"),"CD07")</f>
        <v>CD07</v>
      </c>
      <c r="C2" s="24">
        <v>46208.0</v>
      </c>
      <c r="D2" s="14" t="s">
        <v>75</v>
      </c>
      <c r="E2" s="14" t="s">
        <v>76</v>
      </c>
      <c r="F2" s="27" t="str">
        <f>IFERROR(__xludf.DUMMYFUNCTION("REGEXREPLACE($A2, ""(?i)^8301(E000|E100|E200|E300)?"", """")"),"CD070E071C08000000")</f>
        <v>CD070E071C08000000</v>
      </c>
    </row>
    <row r="3">
      <c r="A3" s="18" t="s">
        <v>77</v>
      </c>
      <c r="B3" s="22" t="str">
        <f>IFERROR(__xludf.DUMMYFUNCTION("LEFT(REGEXREPLACE($A3, ""(?i)^8301(E000|E100|E200|E300)?"", """"), 4)"),"CD07")</f>
        <v>CD07</v>
      </c>
      <c r="C3" s="24">
        <v>46208.0</v>
      </c>
      <c r="D3" s="14" t="s">
        <v>75</v>
      </c>
      <c r="E3" s="14" t="s">
        <v>76</v>
      </c>
      <c r="F3" s="27" t="str">
        <f>IFERROR(__xludf.DUMMYFUNCTION("REGEXREPLACE($A3, ""(?i)^8301(E000|E100|E200|E300)?"", """")"),"CD070E071C28000000")</f>
        <v>CD070E071C28000000</v>
      </c>
    </row>
    <row r="4">
      <c r="A4" s="18" t="s">
        <v>87</v>
      </c>
      <c r="B4" s="22" t="str">
        <f>IFERROR(__xludf.DUMMYFUNCTION("LEFT(REGEXREPLACE($A4, ""(?i)^8301(E000|E100|E200|E300)?"", """"), 4)"),"CD07")</f>
        <v>CD07</v>
      </c>
      <c r="C4" s="24">
        <v>46219.0</v>
      </c>
      <c r="D4" s="14" t="s">
        <v>75</v>
      </c>
      <c r="E4" s="14" t="s">
        <v>76</v>
      </c>
      <c r="F4" s="27" t="str">
        <f>IFERROR(__xludf.DUMMYFUNCTION("REGEXREPLACE($A4, ""(?i)^8301(E000|E100|E200|E300)?"", """")"),"CD070E071C48000000")</f>
        <v>CD070E071C48000000</v>
      </c>
    </row>
    <row r="5">
      <c r="A5" s="29" t="s">
        <v>92</v>
      </c>
      <c r="B5" s="22" t="str">
        <f>IFERROR(__xludf.DUMMYFUNCTION("LEFT(REGEXREPLACE($A5, ""(?i)^8301(E000|E100|E200|E300)?"", """"), 4)"),"CD07")</f>
        <v>CD07</v>
      </c>
      <c r="C5" s="30">
        <v>46235.0</v>
      </c>
      <c r="D5" s="31" t="s">
        <v>75</v>
      </c>
      <c r="E5" s="31" t="s">
        <v>76</v>
      </c>
      <c r="F5" s="27" t="str">
        <f>IFERROR(__xludf.DUMMYFUNCTION("REGEXREPLACE($A5, ""(?i)^8301(E000|E100|E200|E300)?"", """")"),"CD070E070228000000")</f>
        <v>CD070E070228000000</v>
      </c>
    </row>
    <row r="6">
      <c r="A6" s="29" t="s">
        <v>99</v>
      </c>
      <c r="B6" s="22" t="str">
        <f>IFERROR(__xludf.DUMMYFUNCTION("LEFT(REGEXREPLACE($A6, ""(?i)^8301(E000|E100|E200|E300)?"", """"), 4)"),"CD07")</f>
        <v>CD07</v>
      </c>
      <c r="C6" s="30">
        <v>46235.0</v>
      </c>
      <c r="D6" s="31" t="s">
        <v>75</v>
      </c>
      <c r="E6" s="31" t="s">
        <v>76</v>
      </c>
      <c r="F6" s="27" t="str">
        <f>IFERROR(__xludf.DUMMYFUNCTION("REGEXREPLACE($A6, ""(?i)^8301(E000|E100|E200|E300)?"", """")"),"CD070E071C08000000")</f>
        <v>CD070E071C08000000</v>
      </c>
    </row>
    <row r="7">
      <c r="A7" s="29" t="s">
        <v>104</v>
      </c>
      <c r="B7" s="22" t="str">
        <f>IFERROR(__xludf.DUMMYFUNCTION("LEFT(REGEXREPLACE($A7, ""(?i)^8301(E000|E100|E200|E300)?"", """"), 4)"),"CD07")</f>
        <v>CD07</v>
      </c>
      <c r="C7" s="30">
        <v>46235.0</v>
      </c>
      <c r="D7" s="31" t="s">
        <v>75</v>
      </c>
      <c r="E7" s="31" t="s">
        <v>76</v>
      </c>
      <c r="F7" s="27" t="str">
        <f>IFERROR(__xludf.DUMMYFUNCTION("REGEXREPLACE($A7, ""(?i)^8301(E000|E100|E200|E300)?"", """")"),"CD070E071C28000000")</f>
        <v>CD070E071C28000000</v>
      </c>
    </row>
    <row r="8" hidden="1">
      <c r="A8" s="18" t="s">
        <v>105</v>
      </c>
      <c r="B8" s="22" t="str">
        <f>IFERROR(__xludf.DUMMYFUNCTION("LEFT(REGEXREPLACE($A8, ""(?i)^8301(E000|E100|E200|E300)?"", """"), 4)"),"E904")</f>
        <v>E904</v>
      </c>
      <c r="C8" s="24">
        <v>46220.0</v>
      </c>
      <c r="D8" s="14" t="s">
        <v>106</v>
      </c>
      <c r="E8" s="14" t="s">
        <v>107</v>
      </c>
      <c r="F8" s="27" t="str">
        <f>IFERROR(__xludf.DUMMYFUNCTION("REGEXREPLACE($A8, ""(?i)^8301(E000|E100|E200|E300)?"", """")"),"E904000F0EF5")</f>
        <v>E904000F0EF5</v>
      </c>
    </row>
    <row r="9" hidden="1">
      <c r="A9" s="18" t="s">
        <v>108</v>
      </c>
      <c r="B9" s="22" t="str">
        <f>IFERROR(__xludf.DUMMYFUNCTION("LEFT(REGEXREPLACE($A9, ""(?i)^8301(E000|E100|E200|E300)?"", """"), 4)"),"E904")</f>
        <v>E904</v>
      </c>
      <c r="C9" s="24">
        <v>46220.0</v>
      </c>
      <c r="D9" s="14" t="s">
        <v>106</v>
      </c>
      <c r="E9" s="14" t="s">
        <v>107</v>
      </c>
      <c r="F9" s="27" t="str">
        <f>IFERROR(__xludf.DUMMYFUNCTION("REGEXREPLACE($A9, ""(?i)^8301(E000|E100|E200|E300)?"", """")"),"E90400120EF9")</f>
        <v>E90400120EF9</v>
      </c>
    </row>
    <row r="10" hidden="1">
      <c r="A10" s="18" t="s">
        <v>109</v>
      </c>
      <c r="B10" s="22" t="str">
        <f>IFERROR(__xludf.DUMMYFUNCTION("LEFT(REGEXREPLACE($A10, ""(?i)^8301(E000|E100|E200|E300)?"", """"), 4)"),"E904")</f>
        <v>E904</v>
      </c>
      <c r="C10" s="24">
        <v>46220.0</v>
      </c>
      <c r="D10" s="14" t="s">
        <v>106</v>
      </c>
      <c r="E10" s="14" t="s">
        <v>107</v>
      </c>
      <c r="F10" s="27" t="str">
        <f>IFERROR(__xludf.DUMMYFUNCTION("REGEXREPLACE($A10, ""(?i)^8301(E000|E100|E200|E300)?"", """")"),"E90400430EFB")</f>
        <v>E90400430EFB</v>
      </c>
    </row>
    <row r="11" hidden="1">
      <c r="A11" s="18" t="s">
        <v>110</v>
      </c>
      <c r="B11" s="22" t="str">
        <f>IFERROR(__xludf.DUMMYFUNCTION("LEFT(REGEXREPLACE($A11, ""(?i)^8301(E000|E100|E200|E300)?"", """"), 4)"),"E904")</f>
        <v>E904</v>
      </c>
      <c r="C11" s="24">
        <v>46220.0</v>
      </c>
      <c r="D11" s="14" t="s">
        <v>106</v>
      </c>
      <c r="E11" s="14" t="s">
        <v>107</v>
      </c>
      <c r="F11" s="27" t="str">
        <f>IFERROR(__xludf.DUMMYFUNCTION("REGEXREPLACE($A11, ""(?i)^8301(E000|E100|E200|E300)?"", """")"),"E904006B0EF9")</f>
        <v>E904006B0EF9</v>
      </c>
    </row>
    <row r="12" hidden="1">
      <c r="A12" s="18" t="s">
        <v>111</v>
      </c>
      <c r="B12" s="22" t="str">
        <f>IFERROR(__xludf.DUMMYFUNCTION("LEFT(REGEXREPLACE($A12, ""(?i)^8301(E000|E100|E200|E300)?"", """"), 4)"),"E904")</f>
        <v>E904</v>
      </c>
      <c r="C12" s="24">
        <v>46220.0</v>
      </c>
      <c r="D12" s="14" t="s">
        <v>106</v>
      </c>
      <c r="E12" s="14" t="s">
        <v>107</v>
      </c>
      <c r="F12" s="27" t="str">
        <f>IFERROR(__xludf.DUMMYFUNCTION("REGEXREPLACE($A12, ""(?i)^8301(E000|E100|E200|E300)?"", """")"),"E90400CF0EE2")</f>
        <v>E90400CF0EE2</v>
      </c>
    </row>
    <row r="13" hidden="1">
      <c r="A13" s="18" t="s">
        <v>112</v>
      </c>
      <c r="B13" s="22" t="str">
        <f>IFERROR(__xludf.DUMMYFUNCTION("LEFT(REGEXREPLACE($A13, ""(?i)^8301(E000|E100|E200|E300)?"", """"), 4)"),"E904")</f>
        <v>E904</v>
      </c>
      <c r="C13" s="24">
        <v>46220.0</v>
      </c>
      <c r="D13" s="14" t="s">
        <v>106</v>
      </c>
      <c r="E13" s="14" t="s">
        <v>107</v>
      </c>
      <c r="F13" s="27" t="str">
        <f>IFERROR(__xludf.DUMMYFUNCTION("REGEXREPLACE($A13, ""(?i)^8301(E000|E100|E200|E300)?"", """")"),"E90400CF0EFD")</f>
        <v>E90400CF0EFD</v>
      </c>
    </row>
    <row r="14" hidden="1">
      <c r="A14" s="18" t="s">
        <v>113</v>
      </c>
      <c r="B14" s="22" t="str">
        <f>IFERROR(__xludf.DUMMYFUNCTION("LEFT(REGEXREPLACE($A14, ""(?i)^8301(E000|E100|E200|E300)?"", """"), 4)"),"E904")</f>
        <v>E904</v>
      </c>
      <c r="C14" s="24">
        <v>46220.0</v>
      </c>
      <c r="D14" s="14" t="s">
        <v>106</v>
      </c>
      <c r="E14" s="14" t="s">
        <v>107</v>
      </c>
      <c r="F14" s="27" t="str">
        <f>IFERROR(__xludf.DUMMYFUNCTION("REGEXREPLACE($A14, ""(?i)^8301(E000|E100|E200|E300)?"", """")"),"E90400D50EE4")</f>
        <v>E90400D50EE4</v>
      </c>
    </row>
    <row r="15" hidden="1">
      <c r="A15" s="18" t="s">
        <v>117</v>
      </c>
      <c r="B15" s="22" t="str">
        <f>IFERROR(__xludf.DUMMYFUNCTION("LEFT(REGEXREPLACE($A15, ""(?i)^8301(E000|E100|E200|E300)?"", """"), 4)"),"E904")</f>
        <v>E904</v>
      </c>
      <c r="C15" s="24">
        <v>46220.0</v>
      </c>
      <c r="D15" s="14" t="s">
        <v>106</v>
      </c>
      <c r="E15" s="14" t="s">
        <v>107</v>
      </c>
      <c r="F15" s="27" t="str">
        <f>IFERROR(__xludf.DUMMYFUNCTION("REGEXREPLACE($A15, ""(?i)^8301(E000|E100|E200|E300)?"", """")"),"E90400DF0EED")</f>
        <v>E90400DF0EED</v>
      </c>
    </row>
    <row r="16" hidden="1">
      <c r="A16" s="18" t="s">
        <v>122</v>
      </c>
      <c r="B16" s="22" t="str">
        <f>IFERROR(__xludf.DUMMYFUNCTION("LEFT(REGEXREPLACE($A16, ""(?i)^8301(E000|E100|E200|E300)?"", """"), 4)"),"E904")</f>
        <v>E904</v>
      </c>
      <c r="C16" s="24">
        <v>46220.0</v>
      </c>
      <c r="D16" s="14" t="s">
        <v>106</v>
      </c>
      <c r="E16" s="14" t="s">
        <v>107</v>
      </c>
      <c r="F16" s="27" t="str">
        <f>IFERROR(__xludf.DUMMYFUNCTION("REGEXREPLACE($A16, ""(?i)^8301(E000|E100|E200|E300)?"", """")"),"E90400DF0EF3")</f>
        <v>E90400DF0EF3</v>
      </c>
    </row>
    <row r="17" hidden="1">
      <c r="A17" s="18" t="s">
        <v>123</v>
      </c>
      <c r="B17" s="22" t="str">
        <f>IFERROR(__xludf.DUMMYFUNCTION("LEFT(REGEXREPLACE($A17, ""(?i)^8301(E000|E100|E200|E300)?"", """"), 4)"),"E904")</f>
        <v>E904</v>
      </c>
      <c r="C17" s="24">
        <v>46220.0</v>
      </c>
      <c r="D17" s="14" t="s">
        <v>106</v>
      </c>
      <c r="E17" s="14" t="s">
        <v>107</v>
      </c>
      <c r="F17" s="27" t="str">
        <f>IFERROR(__xludf.DUMMYFUNCTION("REGEXREPLACE($A17, ""(?i)^8301(E000|E100|E200|E300)?"", """")"),"E90400DF0EF5")</f>
        <v>E90400DF0EF5</v>
      </c>
    </row>
    <row r="18" hidden="1">
      <c r="A18" s="18" t="s">
        <v>124</v>
      </c>
      <c r="B18" s="22" t="str">
        <f>IFERROR(__xludf.DUMMYFUNCTION("LEFT(REGEXREPLACE($A18, ""(?i)^8301(E000|E100|E200|E300)?"", """"), 4)"),"E904")</f>
        <v>E904</v>
      </c>
      <c r="C18" s="24">
        <v>46220.0</v>
      </c>
      <c r="D18" s="14" t="s">
        <v>106</v>
      </c>
      <c r="E18" s="14" t="s">
        <v>107</v>
      </c>
      <c r="F18" s="27" t="str">
        <f>IFERROR(__xludf.DUMMYFUNCTION("REGEXREPLACE($A18, ""(?i)^8301(E000|E100|E200|E300)?"", """")"),"E90400DF0EFD")</f>
        <v>E90400DF0EFD</v>
      </c>
    </row>
    <row r="19" hidden="1">
      <c r="A19" s="18" t="s">
        <v>125</v>
      </c>
      <c r="B19" s="22" t="str">
        <f>IFERROR(__xludf.DUMMYFUNCTION("LEFT(REGEXREPLACE($A19, ""(?i)^8301(E000|E100|E200|E300)?"", """"), 4)"),"E904")</f>
        <v>E904</v>
      </c>
      <c r="C19" s="24">
        <v>46220.0</v>
      </c>
      <c r="D19" s="14" t="s">
        <v>106</v>
      </c>
      <c r="E19" s="14" t="s">
        <v>107</v>
      </c>
      <c r="F19" s="27" t="str">
        <f>IFERROR(__xludf.DUMMYFUNCTION("REGEXREPLACE($A19, ""(?i)^8301(E000|E100|E200|E300)?"", """")"),"E90400EF0EE4")</f>
        <v>E90400EF0EE4</v>
      </c>
    </row>
    <row r="20" hidden="1">
      <c r="A20" s="18" t="s">
        <v>126</v>
      </c>
      <c r="B20" s="22" t="str">
        <f>IFERROR(__xludf.DUMMYFUNCTION("LEFT(REGEXREPLACE($A20, ""(?i)^8301(E000|E100|E200|E300)?"", """"), 4)"),"E904")</f>
        <v>E904</v>
      </c>
      <c r="C20" s="24">
        <v>46220.0</v>
      </c>
      <c r="D20" s="14" t="s">
        <v>106</v>
      </c>
      <c r="E20" s="14" t="s">
        <v>107</v>
      </c>
      <c r="F20" s="27" t="str">
        <f>IFERROR(__xludf.DUMMYFUNCTION("REGEXREPLACE($A20, ""(?i)^8301(E000|E100|E200|E300)?"", """")"),"E90400EF0EFD")</f>
        <v>E90400EF0EFD</v>
      </c>
    </row>
    <row r="21" hidden="1">
      <c r="A21" s="18" t="s">
        <v>127</v>
      </c>
      <c r="B21" s="22" t="str">
        <f>IFERROR(__xludf.DUMMYFUNCTION("LEFT(REGEXREPLACE($A21, ""(?i)^8301(E000|E100|E200|E300)?"", """"), 4)"),"E904")</f>
        <v>E904</v>
      </c>
      <c r="C21" s="24">
        <v>46220.0</v>
      </c>
      <c r="D21" s="14" t="s">
        <v>106</v>
      </c>
      <c r="E21" s="14" t="s">
        <v>107</v>
      </c>
      <c r="F21" s="27" t="str">
        <f>IFERROR(__xludf.DUMMYFUNCTION("REGEXREPLACE($A21, ""(?i)^8301(E000|E100|E200|E300)?"", """")"),"E90400CF0EFD")</f>
        <v>E90400CF0EFD</v>
      </c>
    </row>
    <row r="22">
      <c r="A22" s="29" t="s">
        <v>128</v>
      </c>
      <c r="B22" s="22" t="str">
        <f>IFERROR(__xludf.DUMMYFUNCTION("LEFT(REGEXREPLACE($A22, ""(?i)^8301(E000|E100|E200|E300)?"", """"), 4)"),"E904")</f>
        <v>E904</v>
      </c>
      <c r="C22" s="24">
        <v>46240.0</v>
      </c>
      <c r="D22" s="14" t="s">
        <v>129</v>
      </c>
      <c r="E22" s="31" t="s">
        <v>130</v>
      </c>
      <c r="F22" s="27" t="str">
        <f>IFERROR(__xludf.DUMMYFUNCTION("REGEXREPLACE($A22, ""(?i)^8301(E000|E100|E200|E300)?"", """")"),"E90400010EFD")</f>
        <v>E90400010EFD</v>
      </c>
    </row>
    <row r="23" hidden="1">
      <c r="A23" s="18" t="s">
        <v>131</v>
      </c>
      <c r="B23" s="22" t="str">
        <f>IFERROR(__xludf.DUMMYFUNCTION("LEFT(REGEXREPLACE($A23, ""(?i)^8301(E000|E100|E200|E300)?"", """"), 4)"),"E905")</f>
        <v>E905</v>
      </c>
      <c r="C23" s="24">
        <v>46220.0</v>
      </c>
      <c r="D23" s="14" t="s">
        <v>106</v>
      </c>
      <c r="E23" s="14" t="s">
        <v>107</v>
      </c>
      <c r="F23" s="27" t="str">
        <f>IFERROR(__xludf.DUMMYFUNCTION("REGEXREPLACE($A23, ""(?i)^8301(E000|E100|E200|E300)?"", """")"),"E90500010EE4BB")</f>
        <v>E90500010EE4BB</v>
      </c>
    </row>
    <row r="24">
      <c r="A24" s="18" t="s">
        <v>132</v>
      </c>
      <c r="B24" s="22" t="str">
        <f>IFERROR(__xludf.DUMMYFUNCTION("LEFT(REGEXREPLACE($A24, ""(?i)^8301(E000|E100|E200|E300)?"", """"), 4)"),"E905")</f>
        <v>E905</v>
      </c>
      <c r="C24" s="24">
        <v>46219.0</v>
      </c>
      <c r="D24" s="14" t="s">
        <v>75</v>
      </c>
      <c r="E24" s="14" t="s">
        <v>120</v>
      </c>
      <c r="F24" s="27" t="str">
        <f>IFERROR(__xludf.DUMMYFUNCTION("REGEXREPLACE($A24, ""(?i)^8301(E000|E100|E200|E300)?"", """")"),"E90500010EFDB0")</f>
        <v>E90500010EFDB0</v>
      </c>
    </row>
    <row r="25">
      <c r="A25" s="18" t="s">
        <v>133</v>
      </c>
      <c r="B25" s="22" t="str">
        <f>IFERROR(__xludf.DUMMYFUNCTION("LEFT(REGEXREPLACE($A25, ""(?i)^8301(E000|E100|E200|E300)?"", """"), 4)"),"E905")</f>
        <v>E905</v>
      </c>
      <c r="C25" s="24">
        <v>46208.0</v>
      </c>
      <c r="D25" s="14" t="s">
        <v>75</v>
      </c>
      <c r="E25" s="14" t="s">
        <v>76</v>
      </c>
      <c r="F25" s="27" t="str">
        <f>IFERROR(__xludf.DUMMYFUNCTION("REGEXREPLACE($A25, ""(?i)^8301(E000|E100|E200|E300)?"", """")"),"E90500110EE4B0")</f>
        <v>E90500110EE4B0</v>
      </c>
    </row>
    <row r="26">
      <c r="A26" s="18" t="s">
        <v>134</v>
      </c>
      <c r="B26" s="22" t="str">
        <f>IFERROR(__xludf.DUMMYFUNCTION("LEFT(REGEXREPLACE($A26, ""(?i)^8301(E000|E100|E200|E300)?"", """"), 4)"),"E905")</f>
        <v>E905</v>
      </c>
      <c r="C26" s="24">
        <v>46219.0</v>
      </c>
      <c r="D26" s="14" t="s">
        <v>75</v>
      </c>
      <c r="E26" s="14" t="s">
        <v>120</v>
      </c>
      <c r="F26" s="27" t="str">
        <f>IFERROR(__xludf.DUMMYFUNCTION("REGEXREPLACE($A26, ""(?i)^8301(E000|E100|E200|E300)?"", """")"),"E90500110EEFB0")</f>
        <v>E90500110EEFB0</v>
      </c>
    </row>
    <row r="27" hidden="1">
      <c r="A27" s="18" t="s">
        <v>135</v>
      </c>
      <c r="B27" s="22" t="str">
        <f>IFERROR(__xludf.DUMMYFUNCTION("LEFT(REGEXREPLACE($A27, ""(?i)^8301(E000|E100|E200|E300)?"", """"), 4)"),"E905")</f>
        <v>E905</v>
      </c>
      <c r="C27" s="24">
        <v>46220.0</v>
      </c>
      <c r="D27" s="14" t="s">
        <v>106</v>
      </c>
      <c r="E27" s="14" t="s">
        <v>107</v>
      </c>
      <c r="F27" s="27" t="str">
        <f>IFERROR(__xludf.DUMMYFUNCTION("REGEXREPLACE($A27, ""(?i)^8301(E000|E100|E200|E300)?"", """")"),"E90500110EF2BB")</f>
        <v>E90500110EF2BB</v>
      </c>
    </row>
    <row r="28">
      <c r="A28" s="29" t="s">
        <v>136</v>
      </c>
      <c r="B28" s="22" t="str">
        <f>IFERROR(__xludf.DUMMYFUNCTION("LEFT(REGEXREPLACE($A28, ""(?i)^8301(E000|E100|E200|E300)?"", """"), 4)"),"E905")</f>
        <v>E905</v>
      </c>
      <c r="C28" s="24">
        <v>46207.0</v>
      </c>
      <c r="D28" s="14" t="s">
        <v>129</v>
      </c>
      <c r="E28" s="14" t="s">
        <v>137</v>
      </c>
      <c r="F28" s="27" t="str">
        <f>IFERROR(__xludf.DUMMYFUNCTION("REGEXREPLACE($A28, ""(?i)^8301(E000|E100|E200|E300)?"", """")"),"E90500110EF5BB")</f>
        <v>E90500110EF5BB</v>
      </c>
    </row>
    <row r="29">
      <c r="A29" s="18" t="s">
        <v>138</v>
      </c>
      <c r="B29" s="22" t="str">
        <f>IFERROR(__xludf.DUMMYFUNCTION("LEFT(REGEXREPLACE($A29, ""(?i)^8301(E000|E100|E200|E300)?"", """"), 4)"),"E905")</f>
        <v>E905</v>
      </c>
      <c r="C29" s="24">
        <v>46208.0</v>
      </c>
      <c r="D29" s="14" t="s">
        <v>75</v>
      </c>
      <c r="E29" s="14" t="s">
        <v>76</v>
      </c>
      <c r="F29" s="27" t="str">
        <f>IFERROR(__xludf.DUMMYFUNCTION("REGEXREPLACE($A29, ""(?i)^8301(E000|E100|E200|E300)?"", """")"),"E90500110EF7B0")</f>
        <v>E90500110EF7B0</v>
      </c>
    </row>
    <row r="30">
      <c r="A30" s="29" t="s">
        <v>139</v>
      </c>
      <c r="B30" s="22" t="str">
        <f>IFERROR(__xludf.DUMMYFUNCTION("LEFT(REGEXREPLACE($A30, ""(?i)^8301(E000|E100|E200|E300)?"", """"), 4)"),"E905")</f>
        <v>E905</v>
      </c>
      <c r="C30" s="24">
        <v>46207.0</v>
      </c>
      <c r="D30" s="14" t="s">
        <v>129</v>
      </c>
      <c r="E30" s="14" t="s">
        <v>137</v>
      </c>
      <c r="F30" s="27" t="str">
        <f>IFERROR(__xludf.DUMMYFUNCTION("REGEXREPLACE($A30, ""(?i)^8301(E000|E100|E200|E300)?"", """")"),"E90500110EFBBB")</f>
        <v>E90500110EFBBB</v>
      </c>
    </row>
    <row r="31">
      <c r="A31" s="18" t="s">
        <v>140</v>
      </c>
      <c r="B31" s="22" t="str">
        <f>IFERROR(__xludf.DUMMYFUNCTION("LEFT(REGEXREPLACE($A31, ""(?i)^8301(E000|E100|E200|E300)?"", """"), 4)"),"E905")</f>
        <v>E905</v>
      </c>
      <c r="C31" s="24">
        <v>46228.0</v>
      </c>
      <c r="D31" s="14" t="s">
        <v>75</v>
      </c>
      <c r="E31" s="14" t="s">
        <v>76</v>
      </c>
      <c r="F31" s="27" t="str">
        <f>IFERROR(__xludf.DUMMYFUNCTION("REGEXREPLACE($A31, ""(?i)^8301(E000|E100|E200|E300)?"", """")"),"E90500110EFCB0")</f>
        <v>E90500110EFCB0</v>
      </c>
    </row>
    <row r="32" hidden="1">
      <c r="A32" s="18" t="s">
        <v>141</v>
      </c>
      <c r="B32" s="22" t="str">
        <f>IFERROR(__xludf.DUMMYFUNCTION("LEFT(REGEXREPLACE($A32, ""(?i)^8301(E000|E100|E200|E300)?"", """"), 4)"),"E905")</f>
        <v>E905</v>
      </c>
      <c r="C32" s="24">
        <v>46220.0</v>
      </c>
      <c r="D32" s="14" t="s">
        <v>106</v>
      </c>
      <c r="E32" s="14" t="s">
        <v>107</v>
      </c>
      <c r="F32" s="27" t="str">
        <f>IFERROR(__xludf.DUMMYFUNCTION("REGEXREPLACE($A32, ""(?i)^8301(E000|E100|E200|E300)?"", """")"),"E90500110EFCB1")</f>
        <v>E90500110EFCB1</v>
      </c>
    </row>
    <row r="33">
      <c r="A33" s="18" t="s">
        <v>142</v>
      </c>
      <c r="B33" s="22" t="str">
        <f>IFERROR(__xludf.DUMMYFUNCTION("LEFT(REGEXREPLACE($A33, ""(?i)^8301(E000|E100|E200|E300)?"", """"), 4)"),"E905")</f>
        <v>E905</v>
      </c>
      <c r="C33" s="24">
        <v>46208.0</v>
      </c>
      <c r="D33" s="14" t="s">
        <v>75</v>
      </c>
      <c r="E33" s="14" t="s">
        <v>143</v>
      </c>
      <c r="F33" s="27" t="str">
        <f>IFERROR(__xludf.DUMMYFUNCTION("REGEXREPLACE($A33, ""(?i)^8301(E000|E100|E200|E300)?"", """")"),"E90500120EF5BB")</f>
        <v>E90500120EF5BB</v>
      </c>
    </row>
    <row r="34">
      <c r="A34" s="18" t="s">
        <v>144</v>
      </c>
      <c r="B34" s="22" t="str">
        <f>IFERROR(__xludf.DUMMYFUNCTION("LEFT(REGEXREPLACE($A34, ""(?i)^8301(E000|E100|E200|E300)?"", """"), 4)"),"E905")</f>
        <v>E905</v>
      </c>
      <c r="C34" s="24">
        <v>46219.0</v>
      </c>
      <c r="D34" s="14" t="s">
        <v>75</v>
      </c>
      <c r="E34" s="14" t="s">
        <v>76</v>
      </c>
      <c r="F34" s="27" t="str">
        <f>IFERROR(__xludf.DUMMYFUNCTION("REGEXREPLACE($A34, ""(?i)^8301(E000|E100|E200|E300)?"", """")"),"E90500140EFCB0")</f>
        <v>E90500140EFCB0</v>
      </c>
    </row>
    <row r="35">
      <c r="A35" s="18" t="s">
        <v>145</v>
      </c>
      <c r="B35" s="22" t="str">
        <f>IFERROR(__xludf.DUMMYFUNCTION("LEFT(REGEXREPLACE($A35, ""(?i)^8301(E000|E100|E200|E300)?"", """"), 4)"),"E905")</f>
        <v>E905</v>
      </c>
      <c r="C35" s="24">
        <v>46228.0</v>
      </c>
      <c r="D35" s="14" t="s">
        <v>75</v>
      </c>
      <c r="E35" s="14" t="s">
        <v>76</v>
      </c>
      <c r="F35" s="27" t="str">
        <f>IFERROR(__xludf.DUMMYFUNCTION("REGEXREPLACE($A35, ""(?i)^8301(E000|E100|E200|E300)?"", """")"),"E90500150EE4B0")</f>
        <v>E90500150EE4B0</v>
      </c>
    </row>
    <row r="36">
      <c r="A36" s="18" t="s">
        <v>146</v>
      </c>
      <c r="B36" s="22" t="str">
        <f>IFERROR(__xludf.DUMMYFUNCTION("LEFT(REGEXREPLACE($A36, ""(?i)^8301(E000|E100|E200|E300)?"", """"), 4)"),"E905")</f>
        <v>E905</v>
      </c>
      <c r="C36" s="24">
        <v>46228.0</v>
      </c>
      <c r="D36" s="14" t="s">
        <v>75</v>
      </c>
      <c r="E36" s="14" t="s">
        <v>120</v>
      </c>
      <c r="F36" s="27" t="str">
        <f>IFERROR(__xludf.DUMMYFUNCTION("REGEXREPLACE($A36, ""(?i)^8301(E000|E100|E200|E300)?"", """")"),"E90500210EFBB0")</f>
        <v>E90500210EFBB0</v>
      </c>
    </row>
    <row r="37">
      <c r="A37" s="29" t="s">
        <v>147</v>
      </c>
      <c r="B37" s="22" t="str">
        <f>IFERROR(__xludf.DUMMYFUNCTION("LEFT(REGEXREPLACE($A37, ""(?i)^8301(E000|E100|E200|E300)?"", """"), 4)"),"E905")</f>
        <v>E905</v>
      </c>
      <c r="C37" s="30">
        <v>46235.0</v>
      </c>
      <c r="D37" s="31" t="s">
        <v>75</v>
      </c>
      <c r="E37" s="31" t="s">
        <v>76</v>
      </c>
      <c r="F37" s="27" t="str">
        <f>IFERROR(__xludf.DUMMYFUNCTION("REGEXREPLACE($A37, ""(?i)^8301(E000|E100|E200|E300)?"", """")"),"E90500210EFCB0")</f>
        <v>E90500210EFCB0</v>
      </c>
    </row>
    <row r="38">
      <c r="A38" s="29" t="s">
        <v>148</v>
      </c>
      <c r="B38" s="22" t="str">
        <f>IFERROR(__xludf.DUMMYFUNCTION("LEFT(REGEXREPLACE($A38, ""(?i)^8301(E000|E100|E200|E300)?"", """"), 4)"),"E905")</f>
        <v>E905</v>
      </c>
      <c r="C38" s="24">
        <v>46207.0</v>
      </c>
      <c r="D38" s="14" t="s">
        <v>129</v>
      </c>
      <c r="E38" s="14" t="s">
        <v>137</v>
      </c>
      <c r="F38" s="27" t="str">
        <f>IFERROR(__xludf.DUMMYFUNCTION("REGEXREPLACE($A38, ""(?i)^8301(E000|E100|E200|E300)?"", """")"),"E90500220EE4BB")</f>
        <v>E90500220EE4BB</v>
      </c>
    </row>
    <row r="39">
      <c r="A39" s="29" t="s">
        <v>151</v>
      </c>
      <c r="B39" s="22" t="str">
        <f>IFERROR(__xludf.DUMMYFUNCTION("LEFT(REGEXREPLACE($A39, ""(?i)^8301(E000|E100|E200|E300)?"", """"), 4)"),"E905")</f>
        <v>E905</v>
      </c>
      <c r="C39" s="24">
        <v>46240.0</v>
      </c>
      <c r="D39" s="14" t="s">
        <v>129</v>
      </c>
      <c r="E39" s="70" t="s">
        <v>137</v>
      </c>
      <c r="F39" s="27" t="str">
        <f>IFERROR(__xludf.DUMMYFUNCTION("REGEXREPLACE($A39, ""(?i)^8301(E000|E100|E200|E300)?"", """")"),"E90500220EEFB2")</f>
        <v>E90500220EEFB2</v>
      </c>
    </row>
    <row r="40">
      <c r="A40" s="18" t="s">
        <v>154</v>
      </c>
      <c r="B40" s="22" t="str">
        <f>IFERROR(__xludf.DUMMYFUNCTION("LEFT(REGEXREPLACE($A40, ""(?i)^8301(E000|E100|E200|E300)?"", """"), 4)"),"E905")</f>
        <v>E905</v>
      </c>
      <c r="C40" s="24">
        <v>46219.0</v>
      </c>
      <c r="D40" s="14" t="s">
        <v>75</v>
      </c>
      <c r="E40" s="14" t="s">
        <v>76</v>
      </c>
      <c r="F40" s="27" t="str">
        <f>IFERROR(__xludf.DUMMYFUNCTION("REGEXREPLACE($A40, ""(?i)^8301(E000|E100|E200|E300)?"", """")"),"E90500230EFCB0")</f>
        <v>E90500230EFCB0</v>
      </c>
    </row>
    <row r="41">
      <c r="A41" s="18" t="s">
        <v>155</v>
      </c>
      <c r="B41" s="22" t="str">
        <f>IFERROR(__xludf.DUMMYFUNCTION("LEFT(REGEXREPLACE($A41, ""(?i)^8301(E000|E100|E200|E300)?"", """"), 4)"),"E905")</f>
        <v>E905</v>
      </c>
      <c r="C41" s="24">
        <v>46219.0</v>
      </c>
      <c r="D41" s="14" t="s">
        <v>75</v>
      </c>
      <c r="E41" s="14" t="s">
        <v>76</v>
      </c>
      <c r="F41" s="27" t="str">
        <f>IFERROR(__xludf.DUMMYFUNCTION("REGEXREPLACE($A41, ""(?i)^8301(E000|E100|E200|E300)?"", """")"),"E90500250EFCB0")</f>
        <v>E90500250EFCB0</v>
      </c>
    </row>
    <row r="42">
      <c r="A42" s="18" t="s">
        <v>156</v>
      </c>
      <c r="B42" s="22" t="str">
        <f>IFERROR(__xludf.DUMMYFUNCTION("LEFT(REGEXREPLACE($A42, ""(?i)^8301(E000|E100|E200|E300)?"", """"), 4)"),"E905")</f>
        <v>E905</v>
      </c>
      <c r="C42" s="24">
        <v>46208.0</v>
      </c>
      <c r="D42" s="14" t="s">
        <v>75</v>
      </c>
      <c r="E42" s="14" t="s">
        <v>76</v>
      </c>
      <c r="F42" s="27" t="str">
        <f>IFERROR(__xludf.DUMMYFUNCTION("REGEXREPLACE($A42, ""(?i)^8301(E000|E100|E200|E300)?"", """")"),"E90500330EE0BD")</f>
        <v>E90500330EE0BD</v>
      </c>
    </row>
    <row r="43">
      <c r="A43" s="18" t="s">
        <v>157</v>
      </c>
      <c r="B43" s="22" t="str">
        <f>IFERROR(__xludf.DUMMYFUNCTION("LEFT(REGEXREPLACE($A43, ""(?i)^8301(E000|E100|E200|E300)?"", """"), 4)"),"E905")</f>
        <v>E905</v>
      </c>
      <c r="C43" s="24">
        <v>46219.0</v>
      </c>
      <c r="D43" s="14" t="s">
        <v>75</v>
      </c>
      <c r="E43" s="14" t="s">
        <v>120</v>
      </c>
      <c r="F43" s="27" t="str">
        <f>IFERROR(__xludf.DUMMYFUNCTION("REGEXREPLACE($A43, ""(?i)^8301(E000|E100|E200|E300)?"", """")"),"E905004C0EF1B0")</f>
        <v>E905004C0EF1B0</v>
      </c>
    </row>
    <row r="44">
      <c r="A44" s="18" t="s">
        <v>158</v>
      </c>
      <c r="B44" s="22" t="str">
        <f>IFERROR(__xludf.DUMMYFUNCTION("LEFT(REGEXREPLACE($A44, ""(?i)^8301(E000|E100|E200|E300)?"", """"), 4)"),"E905")</f>
        <v>E905</v>
      </c>
      <c r="C44" s="24">
        <v>46219.0</v>
      </c>
      <c r="D44" s="14" t="s">
        <v>75</v>
      </c>
      <c r="E44" s="14" t="s">
        <v>120</v>
      </c>
      <c r="F44" s="27" t="str">
        <f>IFERROR(__xludf.DUMMYFUNCTION("REGEXREPLACE($A44, ""(?i)^8301(E000|E100|E200|E300)?"", """")"),"E90500510EE4B0")</f>
        <v>E90500510EE4B0</v>
      </c>
    </row>
    <row r="45">
      <c r="A45" s="18" t="s">
        <v>159</v>
      </c>
      <c r="B45" s="22" t="str">
        <f>IFERROR(__xludf.DUMMYFUNCTION("LEFT(REGEXREPLACE($A45, ""(?i)^8301(E000|E100|E200|E300)?"", """"), 4)"),"E905")</f>
        <v>E905</v>
      </c>
      <c r="C45" s="24">
        <v>46219.0</v>
      </c>
      <c r="D45" s="14" t="s">
        <v>75</v>
      </c>
      <c r="E45" s="14" t="s">
        <v>120</v>
      </c>
      <c r="F45" s="27" t="str">
        <f>IFERROR(__xludf.DUMMYFUNCTION("REGEXREPLACE($A45, ""(?i)^8301(E000|E100|E200|E300)?"", """")"),"E90500610EF3B0")</f>
        <v>E90500610EF3B0</v>
      </c>
    </row>
    <row r="46">
      <c r="A46" s="18" t="s">
        <v>160</v>
      </c>
      <c r="B46" s="22" t="str">
        <f>IFERROR(__xludf.DUMMYFUNCTION("LEFT(REGEXREPLACE($A46, ""(?i)^8301(E000|E100|E200|E300)?"", """"), 4)"),"E905")</f>
        <v>E905</v>
      </c>
      <c r="C46" s="24">
        <v>46219.0</v>
      </c>
      <c r="D46" s="14" t="s">
        <v>75</v>
      </c>
      <c r="E46" s="14" t="s">
        <v>120</v>
      </c>
      <c r="F46" s="27" t="str">
        <f>IFERROR(__xludf.DUMMYFUNCTION("REGEXREPLACE($A46, ""(?i)^8301(E000|E100|E200|E300)?"", """")"),"E905006F0EF1B0")</f>
        <v>E905006F0EF1B0</v>
      </c>
    </row>
    <row r="47">
      <c r="A47" s="18" t="s">
        <v>161</v>
      </c>
      <c r="B47" s="22" t="str">
        <f>IFERROR(__xludf.DUMMYFUNCTION("LEFT(REGEXREPLACE($A47, ""(?i)^8301(E000|E100|E200|E300)?"", """"), 4)"),"E905")</f>
        <v>E905</v>
      </c>
      <c r="C47" s="24">
        <v>46228.0</v>
      </c>
      <c r="D47" s="14" t="s">
        <v>75</v>
      </c>
      <c r="E47" s="14" t="s">
        <v>120</v>
      </c>
      <c r="F47" s="27" t="str">
        <f>IFERROR(__xludf.DUMMYFUNCTION("REGEXREPLACE($A47, ""(?i)^8301(E000|E100|E200|E300)?"", """")"),"E905006F0EF5B0")</f>
        <v>E905006F0EF5B0</v>
      </c>
    </row>
    <row r="48">
      <c r="A48" s="18" t="s">
        <v>162</v>
      </c>
      <c r="B48" s="22" t="str">
        <f>IFERROR(__xludf.DUMMYFUNCTION("LEFT(REGEXREPLACE($A48, ""(?i)^8301(E000|E100|E200|E300)?"", """"), 4)"),"E905")</f>
        <v>E905</v>
      </c>
      <c r="C48" s="24">
        <v>46219.0</v>
      </c>
      <c r="D48" s="14" t="s">
        <v>75</v>
      </c>
      <c r="E48" s="14" t="s">
        <v>120</v>
      </c>
      <c r="F48" s="27" t="str">
        <f>IFERROR(__xludf.DUMMYFUNCTION("REGEXREPLACE($A48, ""(?i)^8301(E000|E100|E200|E300)?"", """")"),"E90500E40EF1B0")</f>
        <v>E90500E40EF1B0</v>
      </c>
    </row>
    <row r="49">
      <c r="A49" s="29" t="s">
        <v>163</v>
      </c>
      <c r="B49" s="22" t="str">
        <f>IFERROR(__xludf.DUMMYFUNCTION("LEFT(REGEXREPLACE($A49, ""(?i)^8301(E000|E100|E200|E300)?"", """"), 4)"),"E905")</f>
        <v>E905</v>
      </c>
      <c r="C49" s="24">
        <v>46240.0</v>
      </c>
      <c r="D49" s="14" t="s">
        <v>129</v>
      </c>
      <c r="E49" s="70" t="s">
        <v>137</v>
      </c>
      <c r="F49" s="27" t="str">
        <f>IFERROR(__xludf.DUMMYFUNCTION("REGEXREPLACE($A49, ""(?i)^8301(E000|E100|E200|E300)?"", """")"),"E90500010EFDB0")</f>
        <v>E90500010EFDB0</v>
      </c>
    </row>
    <row r="50">
      <c r="A50" s="29" t="s">
        <v>164</v>
      </c>
      <c r="B50" s="22" t="str">
        <f>IFERROR(__xludf.DUMMYFUNCTION("LEFT(REGEXREPLACE($A50, ""(?i)^8301(E000|E100|E200|E300)?"", """"), 4)"),"E905")</f>
        <v>E905</v>
      </c>
      <c r="C50" s="30">
        <v>46235.0</v>
      </c>
      <c r="D50" s="31" t="s">
        <v>75</v>
      </c>
      <c r="E50" s="31" t="s">
        <v>76</v>
      </c>
      <c r="F50" s="27" t="str">
        <f>IFERROR(__xludf.DUMMYFUNCTION("REGEXREPLACE($A50, ""(?i)^8301(E000|E100|E200|E300)?"", """")"),"E90500110EE4B0")</f>
        <v>E90500110EE4B0</v>
      </c>
    </row>
    <row r="51">
      <c r="A51" s="29" t="s">
        <v>165</v>
      </c>
      <c r="B51" s="22" t="str">
        <f>IFERROR(__xludf.DUMMYFUNCTION("LEFT(REGEXREPLACE($A51, ""(?i)^8301(E000|E100|E200|E300)?"", """"), 4)"),"E905")</f>
        <v>E905</v>
      </c>
      <c r="C51" s="30">
        <v>46235.0</v>
      </c>
      <c r="D51" s="31" t="s">
        <v>75</v>
      </c>
      <c r="E51" s="31" t="s">
        <v>76</v>
      </c>
      <c r="F51" s="27" t="str">
        <f>IFERROR(__xludf.DUMMYFUNCTION("REGEXREPLACE($A51, ""(?i)^8301(E000|E100|E200|E300)?"", """")"),"E90500110EF7B0")</f>
        <v>E90500110EF7B0</v>
      </c>
    </row>
    <row r="52">
      <c r="A52" s="29" t="s">
        <v>166</v>
      </c>
      <c r="B52" s="22" t="str">
        <f>IFERROR(__xludf.DUMMYFUNCTION("LEFT(REGEXREPLACE($A52, ""(?i)^8301(E000|E100|E200|E300)?"", """"), 4)"),"E905")</f>
        <v>E905</v>
      </c>
      <c r="C52" s="30">
        <v>46235.0</v>
      </c>
      <c r="D52" s="31" t="s">
        <v>75</v>
      </c>
      <c r="E52" s="31" t="s">
        <v>76</v>
      </c>
      <c r="F52" s="27" t="str">
        <f>IFERROR(__xludf.DUMMYFUNCTION("REGEXREPLACE($A52, ""(?i)^8301(E000|E100|E200|E300)?"", """")"),"E90500150EFCB0")</f>
        <v>E90500150EFCB0</v>
      </c>
    </row>
    <row r="53">
      <c r="A53" s="29" t="s">
        <v>168</v>
      </c>
      <c r="B53" s="22" t="str">
        <f>IFERROR(__xludf.DUMMYFUNCTION("LEFT(REGEXREPLACE($A53, ""(?i)^8301(E000|E100|E200|E300)?"", """"), 4)"),"E905")</f>
        <v>E905</v>
      </c>
      <c r="C53" s="30">
        <v>46235.0</v>
      </c>
      <c r="D53" s="31" t="s">
        <v>75</v>
      </c>
      <c r="E53" s="31" t="s">
        <v>76</v>
      </c>
      <c r="F53" s="27" t="str">
        <f>IFERROR(__xludf.DUMMYFUNCTION("REGEXREPLACE($A53, ""(?i)^8301(E000|E100|E200|E300)?"", """")"),"E90500210EEFB0")</f>
        <v>E90500210EEFB0</v>
      </c>
    </row>
    <row r="54" hidden="1">
      <c r="A54" s="18" t="s">
        <v>169</v>
      </c>
      <c r="B54" s="22" t="str">
        <f>IFERROR(__xludf.DUMMYFUNCTION("LEFT(REGEXREPLACE($A54, ""(?i)^8301(E000|E100|E200|E300)?"", """"), 4)"),"E907")</f>
        <v>E907</v>
      </c>
      <c r="C54" s="24">
        <v>46220.0</v>
      </c>
      <c r="D54" s="14" t="s">
        <v>106</v>
      </c>
      <c r="E54" s="14" t="s">
        <v>107</v>
      </c>
      <c r="F54" s="27" t="str">
        <f>IFERROR(__xludf.DUMMYFUNCTION("REGEXREPLACE($A54, ""(?i)^8301(E000|E100|E200|E300)?"", """")"),"E9070021D255FC6400")</f>
        <v>E9070021D255FC6400</v>
      </c>
    </row>
    <row r="55" hidden="1">
      <c r="A55" s="18" t="s">
        <v>171</v>
      </c>
      <c r="B55" s="22" t="str">
        <f>IFERROR(__xludf.DUMMYFUNCTION("LEFT(REGEXREPLACE($A55, ""(?i)^8301(E000|E100|E200|E300)?"", """"), 4)"),"E907")</f>
        <v>E907</v>
      </c>
      <c r="C55" s="24">
        <v>46220.0</v>
      </c>
      <c r="D55" s="14" t="s">
        <v>106</v>
      </c>
      <c r="E55" s="14" t="s">
        <v>107</v>
      </c>
      <c r="F55" s="27" t="str">
        <f>IFERROR(__xludf.DUMMYFUNCTION("REGEXREPLACE($A55, ""(?i)^8301(E000|E100|E200|E300)?"", """")"),"E9070024D255FC0000")</f>
        <v>E9070024D255FC0000</v>
      </c>
    </row>
    <row r="56" hidden="1">
      <c r="A56" s="18" t="s">
        <v>172</v>
      </c>
      <c r="B56" s="22" t="str">
        <f>IFERROR(__xludf.DUMMYFUNCTION("LEFT(REGEXREPLACE($A56, ""(?i)^8301(E000|E100|E200|E300)?"", """"), 4)"),"E907")</f>
        <v>E907</v>
      </c>
      <c r="C56" s="24">
        <v>46220.0</v>
      </c>
      <c r="D56" s="14" t="s">
        <v>106</v>
      </c>
      <c r="E56" s="14" t="s">
        <v>107</v>
      </c>
      <c r="F56" s="27" t="str">
        <f>IFERROR(__xludf.DUMMYFUNCTION("REGEXREPLACE($A56, ""(?i)^8301(E000|E100|E200|E300)?"", """")"),"E907004FD255003C48")</f>
        <v>E907004FD255003C48</v>
      </c>
    </row>
    <row r="57" hidden="1">
      <c r="A57" s="18" t="s">
        <v>173</v>
      </c>
      <c r="B57" s="22" t="str">
        <f>IFERROR(__xludf.DUMMYFUNCTION("LEFT(REGEXREPLACE($A57, ""(?i)^8301(E000|E100|E200|E300)?"", """"), 4)"),"E907")</f>
        <v>E907</v>
      </c>
      <c r="C57" s="24">
        <v>46220.0</v>
      </c>
      <c r="D57" s="14" t="s">
        <v>106</v>
      </c>
      <c r="E57" s="14" t="s">
        <v>107</v>
      </c>
      <c r="F57" s="27" t="str">
        <f>IFERROR(__xludf.DUMMYFUNCTION("REGEXREPLACE($A57, ""(?i)^8301(E000|E100|E200|E300)?"", """")"),"E907004FD2550041FC")</f>
        <v>E907004FD2550041FC</v>
      </c>
    </row>
    <row r="58" hidden="1">
      <c r="A58" s="18" t="s">
        <v>174</v>
      </c>
      <c r="B58" s="22" t="str">
        <f>IFERROR(__xludf.DUMMYFUNCTION("LEFT(REGEXREPLACE($A58, ""(?i)^8301(E000|E100|E200|E300)?"", """"), 4)"),"E907")</f>
        <v>E907</v>
      </c>
      <c r="C58" s="24">
        <v>46220.0</v>
      </c>
      <c r="D58" s="14" t="s">
        <v>106</v>
      </c>
      <c r="E58" s="14" t="s">
        <v>107</v>
      </c>
      <c r="F58" s="27" t="str">
        <f>IFERROR(__xludf.DUMMYFUNCTION("REGEXREPLACE($A58, ""(?i)^8301(E000|E100|E200|E300)?"", """")"),"E907004FD2553D00FC")</f>
        <v>E907004FD2553D00FC</v>
      </c>
    </row>
    <row r="59" hidden="1">
      <c r="A59" s="18" t="s">
        <v>176</v>
      </c>
      <c r="B59" s="22" t="str">
        <f>IFERROR(__xludf.DUMMYFUNCTION("LEFT(REGEXREPLACE($A59, ""(?i)^8301(E000|E100|E200|E300)?"", """"), 4)"),"E907")</f>
        <v>E907</v>
      </c>
      <c r="C59" s="24">
        <v>46220.0</v>
      </c>
      <c r="D59" s="14" t="s">
        <v>106</v>
      </c>
      <c r="E59" s="14" t="s">
        <v>107</v>
      </c>
      <c r="F59" s="27" t="str">
        <f>IFERROR(__xludf.DUMMYFUNCTION("REGEXREPLACE($A59, ""(?i)^8301(E000|E100|E200|E300)?"", """")"),"E907004FD2554B0000")</f>
        <v>E907004FD2554B0000</v>
      </c>
    </row>
    <row r="60" hidden="1">
      <c r="A60" s="18" t="s">
        <v>178</v>
      </c>
      <c r="B60" s="22" t="str">
        <f>IFERROR(__xludf.DUMMYFUNCTION("LEFT(REGEXREPLACE($A60, ""(?i)^8301(E000|E100|E200|E300)?"", """"), 4)"),"E907")</f>
        <v>E907</v>
      </c>
      <c r="C60" s="24">
        <v>46220.0</v>
      </c>
      <c r="D60" s="14" t="s">
        <v>106</v>
      </c>
      <c r="E60" s="14" t="s">
        <v>107</v>
      </c>
      <c r="F60" s="27" t="str">
        <f>IFERROR(__xludf.DUMMYFUNCTION("REGEXREPLACE($A60, ""(?i)^8301(E000|E100|E200|E300)?"", """")"),"E907006BD255570000")</f>
        <v>E907006BD255570000</v>
      </c>
    </row>
    <row r="61" hidden="1">
      <c r="A61" s="18" t="s">
        <v>179</v>
      </c>
      <c r="B61" s="22" t="str">
        <f>IFERROR(__xludf.DUMMYFUNCTION("LEFT(REGEXREPLACE($A61, ""(?i)^8301(E000|E100|E200|E300)?"", """"), 4)"),"E907")</f>
        <v>E907</v>
      </c>
      <c r="C61" s="24">
        <v>46220.0</v>
      </c>
      <c r="D61" s="14" t="s">
        <v>106</v>
      </c>
      <c r="E61" s="14" t="s">
        <v>107</v>
      </c>
      <c r="F61" s="27" t="str">
        <f>IFERROR(__xludf.DUMMYFUNCTION("REGEXREPLACE($A61, ""(?i)^8301(E000|E100|E200|E300)?"", """")"),"E9070074D255004004")</f>
        <v>E9070074D255004004</v>
      </c>
    </row>
    <row r="62" hidden="1">
      <c r="A62" s="18" t="s">
        <v>180</v>
      </c>
      <c r="B62" s="22" t="str">
        <f>IFERROR(__xludf.DUMMYFUNCTION("LEFT(REGEXREPLACE($A62, ""(?i)^8301(E000|E100|E200|E300)?"", """"), 4)"),"E908")</f>
        <v>E908</v>
      </c>
      <c r="C62" s="24">
        <v>46220.0</v>
      </c>
      <c r="D62" s="14" t="s">
        <v>106</v>
      </c>
      <c r="E62" s="14" t="s">
        <v>107</v>
      </c>
      <c r="F62" s="27" t="str">
        <f>IFERROR(__xludf.DUMMYFUNCTION("REGEXREPLACE($A62, ""(?i)^8301(E000|E100|E200|E300)?"", """")"),"E90800EF0FADADADADAD")</f>
        <v>E90800EF0FADADADADAD</v>
      </c>
    </row>
    <row r="63" hidden="1">
      <c r="A63" s="18" t="s">
        <v>181</v>
      </c>
      <c r="B63" s="22" t="str">
        <f>IFERROR(__xludf.DUMMYFUNCTION("LEFT(REGEXREPLACE($A63, ""(?i)^8301(E000|E100|E200|E300)?"", """"), 4)"),"E908")</f>
        <v>E908</v>
      </c>
      <c r="C63" s="24">
        <v>46220.0</v>
      </c>
      <c r="D63" s="14" t="s">
        <v>106</v>
      </c>
      <c r="E63" s="14" t="s">
        <v>107</v>
      </c>
      <c r="F63" s="27" t="str">
        <f>IFERROR(__xludf.DUMMYFUNCTION("REGEXREPLACE($A63, ""(?i)^8301(E000|E100|E200|E300)?"", """")"),"E9080021D255456461BA")</f>
        <v>E9080021D255456461BA</v>
      </c>
    </row>
    <row r="64">
      <c r="A64" s="18" t="s">
        <v>182</v>
      </c>
      <c r="B64" s="22" t="str">
        <f>IFERROR(__xludf.DUMMYFUNCTION("LEFT(REGEXREPLACE($A64, ""(?i)^8301(E000|E100|E200|E300)?"", """"), 4)"),"E908")</f>
        <v>E908</v>
      </c>
      <c r="C64" s="24">
        <v>46219.0</v>
      </c>
      <c r="D64" s="14" t="s">
        <v>75</v>
      </c>
      <c r="E64" s="14" t="s">
        <v>120</v>
      </c>
      <c r="F64" s="27" t="str">
        <f>IFERROR(__xludf.DUMMYFUNCTION("REGEXREPLACE($A64, ""(?i)^8301(E000|E100|E200|E300)?"", """")"),"E9080043D255000000B0")</f>
        <v>E9080043D255000000B0</v>
      </c>
    </row>
    <row r="65" hidden="1">
      <c r="A65" s="18" t="s">
        <v>183</v>
      </c>
      <c r="B65" s="22" t="str">
        <f>IFERROR(__xludf.DUMMYFUNCTION("LEFT(REGEXREPLACE($A65, ""(?i)^8301(E000|E100|E200|E300)?"", """"), 4)"),"E908")</f>
        <v>E908</v>
      </c>
      <c r="C65" s="24">
        <v>46220.0</v>
      </c>
      <c r="D65" s="14" t="s">
        <v>106</v>
      </c>
      <c r="E65" s="14" t="s">
        <v>107</v>
      </c>
      <c r="F65" s="27" t="str">
        <f>IFERROR(__xludf.DUMMYFUNCTION("REGEXREPLACE($A65, ""(?i)^8301(E000|E100|E200|E300)?"", """")"),"E908004F0FAFA4B5B5A4")</f>
        <v>E908004F0FAFA4B5B5A4</v>
      </c>
    </row>
    <row r="66" hidden="1">
      <c r="A66" s="18" t="s">
        <v>184</v>
      </c>
      <c r="B66" s="22" t="str">
        <f>IFERROR(__xludf.DUMMYFUNCTION("LEFT(REGEXREPLACE($A66, ""(?i)^8301(E000|E100|E200|E300)?"", """"), 4)"),"E908")</f>
        <v>E908</v>
      </c>
      <c r="C66" s="24">
        <v>46220.0</v>
      </c>
      <c r="D66" s="14" t="s">
        <v>106</v>
      </c>
      <c r="E66" s="14" t="s">
        <v>107</v>
      </c>
      <c r="F66" s="27" t="str">
        <f>IFERROR(__xludf.DUMMYFUNCTION("REGEXREPLACE($A66, ""(?i)^8301(E000|E100|E200|E300)?"", """")"),"E908004F0FAFA8A8B6B6")</f>
        <v>E908004F0FAFA8A8B6B6</v>
      </c>
    </row>
    <row r="67">
      <c r="A67" s="18" t="s">
        <v>185</v>
      </c>
      <c r="B67" s="22" t="str">
        <f>IFERROR(__xludf.DUMMYFUNCTION("LEFT(REGEXREPLACE($A67, ""(?i)^8301(E000|E100|E200|E300)?"", """"), 4)"),"E908")</f>
        <v>E908</v>
      </c>
      <c r="C67" s="24">
        <v>46219.0</v>
      </c>
      <c r="D67" s="14" t="s">
        <v>75</v>
      </c>
      <c r="E67" s="14" t="s">
        <v>120</v>
      </c>
      <c r="F67" s="27" t="str">
        <f>IFERROR(__xludf.DUMMYFUNCTION("REGEXREPLACE($A67, ""(?i)^8301(E000|E100|E200|E300)?"", """")"),"E9080065D255000000B0")</f>
        <v>E9080065D255000000B0</v>
      </c>
    </row>
    <row r="68">
      <c r="A68" s="18" t="s">
        <v>186</v>
      </c>
      <c r="B68" s="22" t="str">
        <f>IFERROR(__xludf.DUMMYFUNCTION("LEFT(REGEXREPLACE($A68, ""(?i)^8301(E000|E100|E200|E300)?"", """"), 4)"),"E908")</f>
        <v>E908</v>
      </c>
      <c r="C68" s="24">
        <v>46219.0</v>
      </c>
      <c r="D68" s="14" t="s">
        <v>75</v>
      </c>
      <c r="E68" s="14" t="s">
        <v>120</v>
      </c>
      <c r="F68" s="27" t="str">
        <f>IFERROR(__xludf.DUMMYFUNCTION("REGEXREPLACE($A68, ""(?i)^8301(E000|E100|E200|E300)?"", """")"),"E9080073D255000000B0")</f>
        <v>E9080073D255000000B0</v>
      </c>
    </row>
    <row r="69">
      <c r="A69" s="18" t="s">
        <v>187</v>
      </c>
      <c r="B69" s="22" t="str">
        <f>IFERROR(__xludf.DUMMYFUNCTION("LEFT(REGEXREPLACE($A69, ""(?i)^8301(E000|E100|E200|E300)?"", """"), 4)"),"E908")</f>
        <v>E908</v>
      </c>
      <c r="C69" s="24">
        <v>46219.0</v>
      </c>
      <c r="D69" s="14" t="s">
        <v>75</v>
      </c>
      <c r="E69" s="14" t="s">
        <v>120</v>
      </c>
      <c r="F69" s="27" t="str">
        <f>IFERROR(__xludf.DUMMYFUNCTION("REGEXREPLACE($A69, ""(?i)^8301(E000|E100|E200|E300)?"", """")"),"E908008FD255000000B0")</f>
        <v>E908008FD255000000B0</v>
      </c>
    </row>
    <row r="70">
      <c r="A70" s="18" t="s">
        <v>188</v>
      </c>
      <c r="B70" s="22" t="str">
        <f>IFERROR(__xludf.DUMMYFUNCTION("LEFT(REGEXREPLACE($A70, ""(?i)^8301(E000|E100|E200|E300)?"", """"), 4)"),"E908")</f>
        <v>E908</v>
      </c>
      <c r="C70" s="24">
        <v>46219.0</v>
      </c>
      <c r="D70" s="14" t="s">
        <v>75</v>
      </c>
      <c r="E70" s="14" t="s">
        <v>120</v>
      </c>
      <c r="F70" s="27" t="str">
        <f>IFERROR(__xludf.DUMMYFUNCTION("REGEXREPLACE($A70, ""(?i)^8301(E000|E100|E200|E300)?"", """")"),"E90800CFD255000000B0")</f>
        <v>E90800CFD255000000B0</v>
      </c>
    </row>
    <row r="71" hidden="1">
      <c r="A71" s="18" t="s">
        <v>189</v>
      </c>
      <c r="B71" s="22" t="str">
        <f>IFERROR(__xludf.DUMMYFUNCTION("LEFT(REGEXREPLACE($A71, ""(?i)^8301(E000|E100|E200|E300)?"", """"), 4)"),"E908")</f>
        <v>E908</v>
      </c>
      <c r="C71" s="24">
        <v>46220.0</v>
      </c>
      <c r="D71" s="14" t="s">
        <v>106</v>
      </c>
      <c r="E71" s="14" t="s">
        <v>107</v>
      </c>
      <c r="F71" s="27" t="str">
        <f>IFERROR(__xludf.DUMMYFUNCTION("REGEXREPLACE($A71, ""(?i)^8301(E000|E100|E200|E300)?"", """")"),"E90800EF0FA4ADADA4A4")</f>
        <v>E90800EF0FA4ADADA4A4</v>
      </c>
    </row>
    <row r="72" hidden="1">
      <c r="A72" s="18" t="s">
        <v>190</v>
      </c>
      <c r="B72" s="22" t="str">
        <f>IFERROR(__xludf.DUMMYFUNCTION("LEFT(REGEXREPLACE($A72, ""(?i)^8301(E000|E100|E200|E300)?"", """"), 4)"),"E908")</f>
        <v>E908</v>
      </c>
      <c r="C72" s="24">
        <v>46220.0</v>
      </c>
      <c r="D72" s="14" t="s">
        <v>106</v>
      </c>
      <c r="E72" s="14" t="s">
        <v>107</v>
      </c>
      <c r="F72" s="27" t="str">
        <f>IFERROR(__xludf.DUMMYFUNCTION("REGEXREPLACE($A72, ""(?i)^8301(E000|E100|E200|E300)?"", """")"),"E90800EF0FADADADADAD")</f>
        <v>E90800EF0FADADADADAD</v>
      </c>
    </row>
    <row r="73">
      <c r="A73" s="18" t="s">
        <v>191</v>
      </c>
      <c r="B73" s="22" t="str">
        <f>IFERROR(__xludf.DUMMYFUNCTION("LEFT(REGEXREPLACE($A73, ""(?i)^8301(E000|E100|E200|E300)?"", """"), 4)"),"E909")</f>
        <v>E909</v>
      </c>
      <c r="C73" s="24">
        <v>46208.0</v>
      </c>
      <c r="D73" s="14" t="s">
        <v>75</v>
      </c>
      <c r="E73" s="14" t="s">
        <v>143</v>
      </c>
      <c r="F73" s="27" t="str">
        <f>IFERROR(__xludf.DUMMYFUNCTION("REGEXREPLACE($A73, ""(?i)^8301(E000|E100|E200|E300)?"", """")"),"E90900010FB1B1B1BDBDB3")</f>
        <v>E90900010FB1B1B1BDBDB3</v>
      </c>
    </row>
    <row r="74">
      <c r="A74" s="18" t="s">
        <v>192</v>
      </c>
      <c r="B74" s="22" t="str">
        <f>IFERROR(__xludf.DUMMYFUNCTION("LEFT(REGEXREPLACE($A74, ""(?i)^8301(E000|E100|E200|E300)?"", """"), 4)"),"E909")</f>
        <v>E909</v>
      </c>
      <c r="C74" s="24">
        <v>46208.0</v>
      </c>
      <c r="D74" s="14" t="s">
        <v>75</v>
      </c>
      <c r="E74" s="14" t="s">
        <v>143</v>
      </c>
      <c r="F74" s="27" t="str">
        <f>IFERROR(__xludf.DUMMYFUNCTION("REGEXREPLACE($A74, ""(?i)^8301(E000|E100|E200|E300)?"", """")"),"E90900010FB1BDBDB1B1B3")</f>
        <v>E90900010FB1BDBDB1B1B3</v>
      </c>
    </row>
    <row r="75">
      <c r="A75" s="29" t="s">
        <v>193</v>
      </c>
      <c r="B75" s="22" t="str">
        <f>IFERROR(__xludf.DUMMYFUNCTION("LEFT(REGEXREPLACE($A75, ""(?i)^8301(E000|E100|E200|E300)?"", """"), 4)"),"E909")</f>
        <v>E909</v>
      </c>
      <c r="C75" s="24">
        <v>46207.0</v>
      </c>
      <c r="D75" s="14" t="s">
        <v>129</v>
      </c>
      <c r="E75" s="14" t="s">
        <v>137</v>
      </c>
      <c r="F75" s="27" t="str">
        <f>IFERROR(__xludf.DUMMYFUNCTION("REGEXREPLACE($A75, ""(?i)^8301(E000|E100|E200|E300)?"", """")"),"E90900010FB2B5A4A4B5B0")</f>
        <v>E90900010FB2B5A4A4B5B0</v>
      </c>
    </row>
    <row r="76">
      <c r="A76" s="18" t="s">
        <v>194</v>
      </c>
      <c r="B76" s="22" t="str">
        <f>IFERROR(__xludf.DUMMYFUNCTION("LEFT(REGEXREPLACE($A76, ""(?i)^8301(E000|E100|E200|E300)?"", """"), 4)"),"E909")</f>
        <v>E909</v>
      </c>
      <c r="C76" s="24">
        <v>46208.0</v>
      </c>
      <c r="D76" s="14" t="s">
        <v>75</v>
      </c>
      <c r="E76" s="14" t="s">
        <v>143</v>
      </c>
      <c r="F76" s="27" t="str">
        <f>IFERROR(__xludf.DUMMYFUNCTION("REGEXREPLACE($A76, ""(?i)^8301(E000|E100|E200|E300)?"", """")"),"E90900010FBDB5B5BDBDB0")</f>
        <v>E90900010FBDB5B5BDBDB0</v>
      </c>
    </row>
    <row r="77">
      <c r="A77" s="18" t="s">
        <v>195</v>
      </c>
      <c r="B77" s="22" t="str">
        <f>IFERROR(__xludf.DUMMYFUNCTION("LEFT(REGEXREPLACE($A77, ""(?i)^8301(E000|E100|E200|E300)?"", """"), 4)"),"E909")</f>
        <v>E909</v>
      </c>
      <c r="C77" s="24">
        <v>46228.0</v>
      </c>
      <c r="D77" s="14" t="s">
        <v>75</v>
      </c>
      <c r="E77" s="14" t="s">
        <v>120</v>
      </c>
      <c r="F77" s="27" t="str">
        <f>IFERROR(__xludf.DUMMYFUNCTION("REGEXREPLACE($A77, ""(?i)^8301(E000|E100|E200|E300)?"", """")"),"E90900050FA7A7B1A7B1B0")</f>
        <v>E90900050FA7A7B1A7B1B0</v>
      </c>
    </row>
    <row r="78">
      <c r="A78" s="18" t="s">
        <v>196</v>
      </c>
      <c r="B78" s="22" t="str">
        <f>IFERROR(__xludf.DUMMYFUNCTION("LEFT(REGEXREPLACE($A78, ""(?i)^8301(E000|E100|E200|E300)?"", """"), 4)"),"E909")</f>
        <v>E909</v>
      </c>
      <c r="C78" s="24">
        <v>46228.0</v>
      </c>
      <c r="D78" s="14" t="s">
        <v>75</v>
      </c>
      <c r="E78" s="14" t="s">
        <v>120</v>
      </c>
      <c r="F78" s="27" t="str">
        <f>IFERROR(__xludf.DUMMYFUNCTION("REGEXREPLACE($A78, ""(?i)^8301(E000|E100|E200|E300)?"", """")"),"E90900050FA7B1B1B1B1B0")</f>
        <v>E90900050FA7B1B1B1B1B0</v>
      </c>
    </row>
    <row r="79">
      <c r="A79" s="18" t="s">
        <v>197</v>
      </c>
      <c r="B79" s="22" t="str">
        <f>IFERROR(__xludf.DUMMYFUNCTION("LEFT(REGEXREPLACE($A79, ""(?i)^8301(E000|E100|E200|E300)?"", """"), 4)"),"E909")</f>
        <v>E909</v>
      </c>
      <c r="C79" s="24">
        <v>46228.0</v>
      </c>
      <c r="D79" s="14" t="s">
        <v>75</v>
      </c>
      <c r="E79" s="14" t="s">
        <v>120</v>
      </c>
      <c r="F79" s="27" t="str">
        <f>IFERROR(__xludf.DUMMYFUNCTION("REGEXREPLACE($A79, ""(?i)^8301(E000|E100|E200|E300)?"", """")"),"E90900050FADADB1ADB1B0")</f>
        <v>E90900050FADADB1ADB1B0</v>
      </c>
    </row>
    <row r="80">
      <c r="A80" s="18" t="s">
        <v>199</v>
      </c>
      <c r="B80" s="22" t="str">
        <f>IFERROR(__xludf.DUMMYFUNCTION("LEFT(REGEXREPLACE($A80, ""(?i)^8301(E000|E100|E200|E300)?"", """"), 4)"),"E909")</f>
        <v>E909</v>
      </c>
      <c r="C80" s="24">
        <v>46228.0</v>
      </c>
      <c r="D80" s="14" t="s">
        <v>75</v>
      </c>
      <c r="E80" s="14" t="s">
        <v>120</v>
      </c>
      <c r="F80" s="27" t="str">
        <f>IFERROR(__xludf.DUMMYFUNCTION("REGEXREPLACE($A80, ""(?i)^8301(E000|E100|E200|E300)?"", """")"),"E90900050FB1B1ADB1ADB0")</f>
        <v>E90900050FB1B1ADB1ADB0</v>
      </c>
    </row>
    <row r="81">
      <c r="A81" s="18" t="s">
        <v>200</v>
      </c>
      <c r="B81" s="22" t="str">
        <f>IFERROR(__xludf.DUMMYFUNCTION("LEFT(REGEXREPLACE($A81, ""(?i)^8301(E000|E100|E200|E300)?"", """"), 4)"),"E909")</f>
        <v>E909</v>
      </c>
      <c r="C81" s="24">
        <v>46228.0</v>
      </c>
      <c r="D81" s="14" t="s">
        <v>75</v>
      </c>
      <c r="E81" s="14" t="s">
        <v>120</v>
      </c>
      <c r="F81" s="27" t="str">
        <f>IFERROR(__xludf.DUMMYFUNCTION("REGEXREPLACE($A81, ""(?i)^8301(E000|E100|E200|E300)?"", """")"),"E90900050FB1B1B1B1B1B0")</f>
        <v>E90900050FB1B1B1B1B1B0</v>
      </c>
    </row>
    <row r="82">
      <c r="A82" s="18" t="s">
        <v>201</v>
      </c>
      <c r="B82" s="22" t="str">
        <f>IFERROR(__xludf.DUMMYFUNCTION("LEFT(REGEXREPLACE($A82, ""(?i)^8301(E000|E100|E200|E300)?"", """"), 4)"),"E909")</f>
        <v>E909</v>
      </c>
      <c r="C82" s="24">
        <v>46219.0</v>
      </c>
      <c r="D82" s="14" t="s">
        <v>75</v>
      </c>
      <c r="E82" s="14" t="s">
        <v>120</v>
      </c>
      <c r="F82" s="27" t="str">
        <f>IFERROR(__xludf.DUMMYFUNCTION("REGEXREPLACE($A82, ""(?i)^8301(E000|E100|E200|E300)?"", """")"),"E909000F0FA3B5B5A1A1B0")</f>
        <v>E909000F0FA3B5B5A1A1B0</v>
      </c>
    </row>
    <row r="83">
      <c r="A83" s="18" t="s">
        <v>203</v>
      </c>
      <c r="B83" s="22" t="str">
        <f>IFERROR(__xludf.DUMMYFUNCTION("LEFT(REGEXREPLACE($A83, ""(?i)^8301(E000|E100|E200|E300)?"", """"), 4)"),"E909")</f>
        <v>E909</v>
      </c>
      <c r="C83" s="24">
        <v>46228.0</v>
      </c>
      <c r="D83" s="14" t="s">
        <v>75</v>
      </c>
      <c r="E83" s="14" t="s">
        <v>120</v>
      </c>
      <c r="F83" s="27" t="str">
        <f>IFERROR(__xludf.DUMMYFUNCTION("REGEXREPLACE($A83, ""(?i)^8301(E000|E100|E200|E300)?"", """")"),"E909000F0FAFA4B9A4B9B0")</f>
        <v>E909000F0FAFA4B9A4B9B0</v>
      </c>
    </row>
    <row r="84">
      <c r="A84" s="18" t="s">
        <v>204</v>
      </c>
      <c r="B84" s="22" t="str">
        <f>IFERROR(__xludf.DUMMYFUNCTION("LEFT(REGEXREPLACE($A84, ""(?i)^8301(E000|E100|E200|E300)?"", """"), 4)"),"E909")</f>
        <v>E909</v>
      </c>
      <c r="C84" s="24">
        <v>46228.0</v>
      </c>
      <c r="D84" s="14" t="s">
        <v>75</v>
      </c>
      <c r="E84" s="14" t="s">
        <v>120</v>
      </c>
      <c r="F84" s="27" t="str">
        <f>IFERROR(__xludf.DUMMYFUNCTION("REGEXREPLACE($A84, ""(?i)^8301(E000|E100|E200|E300)?"", """")"),"E909000F0FB1B9B5B1A2B0")</f>
        <v>E909000F0FB1B9B5B1A2B0</v>
      </c>
    </row>
    <row r="85">
      <c r="A85" s="29" t="s">
        <v>205</v>
      </c>
      <c r="B85" s="22" t="str">
        <f>IFERROR(__xludf.DUMMYFUNCTION("LEFT(REGEXREPLACE($A85, ""(?i)^8301(E000|E100|E200|E300)?"", """"), 4)"),"E909")</f>
        <v>E909</v>
      </c>
      <c r="C85" s="24">
        <v>46207.0</v>
      </c>
      <c r="D85" s="14" t="s">
        <v>129</v>
      </c>
      <c r="E85" s="14" t="s">
        <v>137</v>
      </c>
      <c r="F85" s="27" t="str">
        <f>IFERROR(__xludf.DUMMYFUNCTION("REGEXREPLACE($A85, ""(?i)^8301(E000|E100|E200|E300)?"", """")"),"E90900110FA4B5B2B5B2B0")</f>
        <v>E90900110FA4B5B2B5B2B0</v>
      </c>
    </row>
    <row r="86" hidden="1">
      <c r="A86" s="18" t="s">
        <v>206</v>
      </c>
      <c r="B86" s="22" t="str">
        <f>IFERROR(__xludf.DUMMYFUNCTION("LEFT(REGEXREPLACE($A86, ""(?i)^8301(E000|E100|E200|E300)?"", """"), 4)"),"E909")</f>
        <v>E909</v>
      </c>
      <c r="C86" s="24">
        <v>46220.0</v>
      </c>
      <c r="D86" s="14" t="s">
        <v>106</v>
      </c>
      <c r="E86" s="14" t="s">
        <v>107</v>
      </c>
      <c r="F86" s="27" t="str">
        <f>IFERROR(__xludf.DUMMYFUNCTION("REGEXREPLACE($A86, ""(?i)^8301(E000|E100|E200|E300)?"", """")"),"E90900110FADADADBCBCB1")</f>
        <v>E90900110FADADADBCBCB1</v>
      </c>
    </row>
    <row r="87">
      <c r="A87" s="18" t="s">
        <v>207</v>
      </c>
      <c r="B87" s="22" t="str">
        <f>IFERROR(__xludf.DUMMYFUNCTION("LEFT(REGEXREPLACE($A87, ""(?i)^8301(E000|E100|E200|E300)?"", """"), 4)"),"E909")</f>
        <v>E909</v>
      </c>
      <c r="C87" s="24">
        <v>46228.0</v>
      </c>
      <c r="D87" s="14" t="s">
        <v>75</v>
      </c>
      <c r="E87" s="14" t="s">
        <v>120</v>
      </c>
      <c r="F87" s="27" t="str">
        <f>IFERROR(__xludf.DUMMYFUNCTION("REGEXREPLACE($A87, ""(?i)^8301(E000|E100|E200|E300)?"", """")"),"E90900110FB3B4B5B5B4B0")</f>
        <v>E90900110FB3B4B5B5B4B0</v>
      </c>
    </row>
    <row r="88">
      <c r="A88" s="18" t="s">
        <v>208</v>
      </c>
      <c r="B88" s="22" t="str">
        <f>IFERROR(__xludf.DUMMYFUNCTION("LEFT(REGEXREPLACE($A88, ""(?i)^8301(E000|E100|E200|E300)?"", """"), 4)"),"E909")</f>
        <v>E909</v>
      </c>
      <c r="C88" s="24">
        <v>46208.0</v>
      </c>
      <c r="D88" s="14" t="s">
        <v>75</v>
      </c>
      <c r="E88" s="14" t="s">
        <v>143</v>
      </c>
      <c r="F88" s="27" t="str">
        <f>IFERROR(__xludf.DUMMYFUNCTION("REGEXREPLACE($A88, ""(?i)^8301(E000|E100|E200|E300)?"", """")"),"E90900130FBBB5A4A4B5B0")</f>
        <v>E90900130FBBB5A4A4B5B0</v>
      </c>
    </row>
    <row r="89">
      <c r="A89" s="18" t="s">
        <v>209</v>
      </c>
      <c r="B89" s="22" t="str">
        <f>IFERROR(__xludf.DUMMYFUNCTION("LEFT(REGEXREPLACE($A89, ""(?i)^8301(E000|E100|E200|E300)?"", """"), 4)"),"E909")</f>
        <v>E909</v>
      </c>
      <c r="C89" s="24">
        <v>46219.0</v>
      </c>
      <c r="D89" s="14" t="s">
        <v>75</v>
      </c>
      <c r="E89" s="14" t="s">
        <v>76</v>
      </c>
      <c r="F89" s="27" t="str">
        <f>IFERROR(__xludf.DUMMYFUNCTION("REGEXREPLACE($A89, ""(?i)^8301(E000|E100|E200|E300)?"", """")"),"E909001F0FA4A8B6B6A8B0")</f>
        <v>E909001F0FA4A8B6B6A8B0</v>
      </c>
    </row>
    <row r="90">
      <c r="A90" s="18" t="s">
        <v>210</v>
      </c>
      <c r="B90" s="22" t="str">
        <f>IFERROR(__xludf.DUMMYFUNCTION("LEFT(REGEXREPLACE($A90, ""(?i)^8301(E000|E100|E200|E300)?"", """"), 4)"),"E909")</f>
        <v>E909</v>
      </c>
      <c r="C90" s="24">
        <v>46228.0</v>
      </c>
      <c r="D90" s="14" t="s">
        <v>75</v>
      </c>
      <c r="E90" s="14" t="s">
        <v>76</v>
      </c>
      <c r="F90" s="27" t="str">
        <f>IFERROR(__xludf.DUMMYFUNCTION("REGEXREPLACE($A90, ""(?i)^8301(E000|E100|E200|E300)?"", """")"),"E909001F0FBBA1A4A4A1B0")</f>
        <v>E909001F0FBBA1A4A4A1B0</v>
      </c>
    </row>
    <row r="91">
      <c r="A91" s="18" t="s">
        <v>211</v>
      </c>
      <c r="B91" s="22" t="str">
        <f>IFERROR(__xludf.DUMMYFUNCTION("LEFT(REGEXREPLACE($A91, ""(?i)^8301(E000|E100|E200|E300)?"", """"), 4)"),"E909")</f>
        <v>E909</v>
      </c>
      <c r="C91" s="24">
        <v>46219.0</v>
      </c>
      <c r="D91" s="14" t="s">
        <v>75</v>
      </c>
      <c r="E91" s="14" t="s">
        <v>76</v>
      </c>
      <c r="F91" s="27" t="str">
        <f>IFERROR(__xludf.DUMMYFUNCTION("REGEXREPLACE($A91, ""(?i)^8301(E000|E100|E200|E300)?"", """")"),"E909001F0FBBB1A7A7B1B0")</f>
        <v>E909001F0FBBB1A7A7B1B0</v>
      </c>
    </row>
    <row r="92">
      <c r="A92" s="18" t="s">
        <v>212</v>
      </c>
      <c r="B92" s="22" t="str">
        <f>IFERROR(__xludf.DUMMYFUNCTION("LEFT(REGEXREPLACE($A92, ""(?i)^8301(E000|E100|E200|E300)?"", """"), 4)"),"E909")</f>
        <v>E909</v>
      </c>
      <c r="C92" s="24">
        <v>46219.0</v>
      </c>
      <c r="D92" s="14" t="s">
        <v>75</v>
      </c>
      <c r="E92" s="14" t="s">
        <v>76</v>
      </c>
      <c r="F92" s="27" t="str">
        <f>IFERROR(__xludf.DUMMYFUNCTION("REGEXREPLACE($A92, ""(?i)^8301(E000|E100|E200|E300)?"", """")"),"E909001F0FBBBBBBBBBBB0")</f>
        <v>E909001F0FBBBBBBBBBBB0</v>
      </c>
    </row>
    <row r="93">
      <c r="A93" s="18" t="s">
        <v>213</v>
      </c>
      <c r="B93" s="22" t="str">
        <f>IFERROR(__xludf.DUMMYFUNCTION("LEFT(REGEXREPLACE($A93, ""(?i)^8301(E000|E100|E200|E300)?"", """"), 4)"),"E909")</f>
        <v>E909</v>
      </c>
      <c r="C93" s="24">
        <v>46219.0</v>
      </c>
      <c r="D93" s="14" t="s">
        <v>75</v>
      </c>
      <c r="E93" s="14" t="s">
        <v>76</v>
      </c>
      <c r="F93" s="27" t="str">
        <f>IFERROR(__xludf.DUMMYFUNCTION("REGEXREPLACE($A93, ""(?i)^8301(E000|E100|E200|E300)?"", """")"),"E909001F0FBCAFB5B5AFB0")</f>
        <v>E909001F0FBCAFB5B5AFB0</v>
      </c>
    </row>
    <row r="94">
      <c r="A94" s="18" t="s">
        <v>214</v>
      </c>
      <c r="B94" s="22" t="str">
        <f>IFERROR(__xludf.DUMMYFUNCTION("LEFT(REGEXREPLACE($A94, ""(?i)^8301(E000|E100|E200|E300)?"", """"), 4)"),"E909")</f>
        <v>E909</v>
      </c>
      <c r="C94" s="24">
        <v>46219.0</v>
      </c>
      <c r="D94" s="14" t="s">
        <v>75</v>
      </c>
      <c r="E94" s="14" t="s">
        <v>120</v>
      </c>
      <c r="F94" s="27" t="str">
        <f>IFERROR(__xludf.DUMMYFUNCTION("REGEXREPLACE($A94, ""(?i)^8301(E000|E100|E200|E300)?"", """")"),"E90900210FA4AFAFAFAFB0")</f>
        <v>E90900210FA4AFAFAFAFB0</v>
      </c>
    </row>
    <row r="95">
      <c r="A95" s="18" t="s">
        <v>215</v>
      </c>
      <c r="B95" s="22" t="str">
        <f>IFERROR(__xludf.DUMMYFUNCTION("LEFT(REGEXREPLACE($A95, ""(?i)^8301(E000|E100|E200|E300)?"", """"), 4)"),"E909")</f>
        <v>E909</v>
      </c>
      <c r="C95" s="24">
        <v>46219.0</v>
      </c>
      <c r="D95" s="14" t="s">
        <v>75</v>
      </c>
      <c r="E95" s="14" t="s">
        <v>120</v>
      </c>
      <c r="F95" s="27" t="str">
        <f>IFERROR(__xludf.DUMMYFUNCTION("REGEXREPLACE($A95, ""(?i)^8301(E000|E100|E200|E300)?"", """")"),"E90900210FAFA1A4A1A4B0")</f>
        <v>E90900210FAFA1A4A1A4B0</v>
      </c>
    </row>
    <row r="96">
      <c r="A96" s="18" t="s">
        <v>216</v>
      </c>
      <c r="B96" s="22" t="str">
        <f>IFERROR(__xludf.DUMMYFUNCTION("LEFT(REGEXREPLACE($A96, ""(?i)^8301(E000|E100|E200|E300)?"", """"), 4)"),"E909")</f>
        <v>E909</v>
      </c>
      <c r="C96" s="24">
        <v>46219.0</v>
      </c>
      <c r="D96" s="14" t="s">
        <v>75</v>
      </c>
      <c r="E96" s="14" t="s">
        <v>76</v>
      </c>
      <c r="F96" s="27" t="str">
        <f>IFERROR(__xludf.DUMMYFUNCTION("REGEXREPLACE($A96, ""(?i)^8301(E000|E100|E200|E300)?"", """")"),"E90900210FB3B9A2A1B9B0")</f>
        <v>E90900210FB3B9A2A1B9B0</v>
      </c>
    </row>
    <row r="97" hidden="1">
      <c r="A97" s="18" t="s">
        <v>219</v>
      </c>
      <c r="B97" s="22" t="str">
        <f>IFERROR(__xludf.DUMMYFUNCTION("LEFT(REGEXREPLACE($A97, ""(?i)^8301(E000|E100|E200|E300)?"", """"), 4)"),"E909")</f>
        <v>E909</v>
      </c>
      <c r="C97" s="24">
        <v>46220.0</v>
      </c>
      <c r="D97" s="14" t="s">
        <v>106</v>
      </c>
      <c r="E97" s="14" t="s">
        <v>175</v>
      </c>
      <c r="F97" s="27" t="str">
        <f>IFERROR(__xludf.DUMMYFUNCTION("REGEXREPLACE($A97, ""(?i)^8301(E000|E100|E200|E300)?"", """")"),"E90900210FB9B1B6B1B6B0")</f>
        <v>E90900210FB9B1B6B1B6B0</v>
      </c>
    </row>
    <row r="98" hidden="1">
      <c r="A98" s="18" t="s">
        <v>221</v>
      </c>
      <c r="B98" s="22" t="str">
        <f>IFERROR(__xludf.DUMMYFUNCTION("LEFT(REGEXREPLACE($A98, ""(?i)^8301(E000|E100|E200|E300)?"", """"), 4)"),"E909")</f>
        <v>E909</v>
      </c>
      <c r="C98" s="24">
        <v>46220.0</v>
      </c>
      <c r="D98" s="14" t="s">
        <v>106</v>
      </c>
      <c r="E98" s="14" t="s">
        <v>175</v>
      </c>
      <c r="F98" s="27" t="str">
        <f>IFERROR(__xludf.DUMMYFUNCTION("REGEXREPLACE($A98, ""(?i)^8301(E000|E100|E200|E300)?"", """")"),"E90900220FA1A2A0A2A0BA")</f>
        <v>E90900220FA1A2A0A2A0BA</v>
      </c>
    </row>
    <row r="99">
      <c r="A99" s="29" t="s">
        <v>222</v>
      </c>
      <c r="B99" s="22" t="str">
        <f>IFERROR(__xludf.DUMMYFUNCTION("LEFT(REGEXREPLACE($A99, ""(?i)^8301(E000|E100|E200|E300)?"", """"), 4)"),"E909")</f>
        <v>E909</v>
      </c>
      <c r="C99" s="24">
        <v>46240.0</v>
      </c>
      <c r="D99" s="14" t="s">
        <v>129</v>
      </c>
      <c r="E99" s="70" t="s">
        <v>137</v>
      </c>
      <c r="F99" s="27" t="str">
        <f>IFERROR(__xludf.DUMMYFUNCTION("REGEXREPLACE($A99, ""(?i)^8301(E000|E100|E200|E300)?"", """")"),"E90900220FAEA8B4B4A8BA")</f>
        <v>E90900220FAEA8B4B4A8BA</v>
      </c>
    </row>
    <row r="100">
      <c r="A100" s="18" t="s">
        <v>223</v>
      </c>
      <c r="B100" s="22" t="str">
        <f>IFERROR(__xludf.DUMMYFUNCTION("LEFT(REGEXREPLACE($A100, ""(?i)^8301(E000|E100|E200|E300)?"", """"), 4)"),"E909")</f>
        <v>E909</v>
      </c>
      <c r="C100" s="24">
        <v>46208.0</v>
      </c>
      <c r="D100" s="14" t="s">
        <v>75</v>
      </c>
      <c r="E100" s="14" t="s">
        <v>76</v>
      </c>
      <c r="F100" s="27" t="str">
        <f>IFERROR(__xludf.DUMMYFUNCTION("REGEXREPLACE($A100, ""(?i)^8301(E000|E100|E200|E300)?"", """")"),"E90900230FA4A4A4A4A4BD")</f>
        <v>E90900230FA4A4A4A4A4BD</v>
      </c>
    </row>
    <row r="101">
      <c r="A101" s="29" t="s">
        <v>224</v>
      </c>
      <c r="B101" s="22" t="str">
        <f>IFERROR(__xludf.DUMMYFUNCTION("LEFT(REGEXREPLACE($A101, ""(?i)^8301(E000|E100|E200|E300)?"", """"), 4)"),"E909")</f>
        <v>E909</v>
      </c>
      <c r="C101" s="24">
        <v>46207.0</v>
      </c>
      <c r="D101" s="14" t="s">
        <v>129</v>
      </c>
      <c r="E101" s="14" t="s">
        <v>137</v>
      </c>
      <c r="F101" s="27" t="str">
        <f>IFERROR(__xludf.DUMMYFUNCTION("REGEXREPLACE($A101, ""(?i)^8301(E000|E100|E200|E300)?"", """")"),"E90900230FA4B5B2B5B2B0")</f>
        <v>E90900230FA4B5B2B5B2B0</v>
      </c>
    </row>
    <row r="102">
      <c r="A102" s="18" t="s">
        <v>225</v>
      </c>
      <c r="B102" s="22" t="str">
        <f>IFERROR(__xludf.DUMMYFUNCTION("LEFT(REGEXREPLACE($A102, ""(?i)^8301(E000|E100|E200|E300)?"", """"), 4)"),"E909")</f>
        <v>E909</v>
      </c>
      <c r="C102" s="24">
        <v>46219.0</v>
      </c>
      <c r="D102" s="14" t="s">
        <v>75</v>
      </c>
      <c r="E102" s="14" t="s">
        <v>120</v>
      </c>
      <c r="F102" s="27" t="str">
        <f>IFERROR(__xludf.DUMMYFUNCTION("REGEXREPLACE($A102, ""(?i)^8301(E000|E100|E200|E300)?"", """")"),"E90900240FBCB9B9A2A2B0")</f>
        <v>E90900240FBCB9B9A2A2B0</v>
      </c>
    </row>
    <row r="103">
      <c r="A103" s="29" t="s">
        <v>226</v>
      </c>
      <c r="B103" s="22" t="str">
        <f>IFERROR(__xludf.DUMMYFUNCTION("LEFT(REGEXREPLACE($A103, ""(?i)^8301(E000|E100|E200|E300)?"", """"), 4)"),"E909")</f>
        <v>E909</v>
      </c>
      <c r="C103" s="24">
        <v>46207.0</v>
      </c>
      <c r="D103" s="14" t="s">
        <v>129</v>
      </c>
      <c r="E103" s="14" t="s">
        <v>137</v>
      </c>
      <c r="F103" s="27" t="str">
        <f>IFERROR(__xludf.DUMMYFUNCTION("REGEXREPLACE($A103, ""(?i)^8301(E000|E100|E200|E300)?"", """")"),"E909002C0FB0A8A2A8A2B0")</f>
        <v>E909002C0FB0A8A2A8A2B0</v>
      </c>
    </row>
    <row r="104">
      <c r="A104" s="18" t="s">
        <v>227</v>
      </c>
      <c r="B104" s="22" t="str">
        <f>IFERROR(__xludf.DUMMYFUNCTION("LEFT(REGEXREPLACE($A104, ""(?i)^8301(E000|E100|E200|E300)?"", """"), 4)"),"E909")</f>
        <v>E909</v>
      </c>
      <c r="C104" s="24">
        <v>46219.0</v>
      </c>
      <c r="D104" s="14" t="s">
        <v>75</v>
      </c>
      <c r="E104" s="14" t="s">
        <v>120</v>
      </c>
      <c r="F104" s="27" t="str">
        <f>IFERROR(__xludf.DUMMYFUNCTION("REGEXREPLACE($A104, ""(?i)^8301(E000|E100|E200|E300)?"", """")"),"E90900410FB5BDBDB5B5B0")</f>
        <v>E90900410FB5BDBDB5B5B0</v>
      </c>
    </row>
    <row r="105">
      <c r="A105" s="18" t="s">
        <v>228</v>
      </c>
      <c r="B105" s="22" t="str">
        <f>IFERROR(__xludf.DUMMYFUNCTION("LEFT(REGEXREPLACE($A105, ""(?i)^8301(E000|E100|E200|E300)?"", """"), 4)"),"E909")</f>
        <v>E909</v>
      </c>
      <c r="C105" s="24">
        <v>46219.0</v>
      </c>
      <c r="D105" s="14" t="s">
        <v>75</v>
      </c>
      <c r="E105" s="14" t="s">
        <v>120</v>
      </c>
      <c r="F105" s="27" t="str">
        <f>IFERROR(__xludf.DUMMYFUNCTION("REGEXREPLACE($A105, ""(?i)^8301(E000|E100|E200|E300)?"", """")"),"E90900420FBDBDB1B1BDB0")</f>
        <v>E90900420FBDBDB1B1BDB0</v>
      </c>
    </row>
    <row r="106">
      <c r="A106" s="18" t="s">
        <v>229</v>
      </c>
      <c r="B106" s="22" t="str">
        <f>IFERROR(__xludf.DUMMYFUNCTION("LEFT(REGEXREPLACE($A106, ""(?i)^8301(E000|E100|E200|E300)?"", """"), 4)"),"E909")</f>
        <v>E909</v>
      </c>
      <c r="C106" s="24">
        <v>46219.0</v>
      </c>
      <c r="D106" s="14" t="s">
        <v>75</v>
      </c>
      <c r="E106" s="14" t="s">
        <v>120</v>
      </c>
      <c r="F106" s="27" t="str">
        <f>IFERROR(__xludf.DUMMYFUNCTION("REGEXREPLACE($A106, ""(?i)^8301(E000|E100|E200|E300)?"", """")"),"E90900430FB1B1B1B1B1B0")</f>
        <v>E90900430FB1B1B1B1B1B0</v>
      </c>
    </row>
    <row r="107" hidden="1">
      <c r="A107" s="18" t="s">
        <v>230</v>
      </c>
      <c r="B107" s="22" t="str">
        <f>IFERROR(__xludf.DUMMYFUNCTION("LEFT(REGEXREPLACE($A107, ""(?i)^8301(E000|E100|E200|E300)?"", """"), 4)"),"E909")</f>
        <v>E909</v>
      </c>
      <c r="C107" s="24">
        <v>46220.0</v>
      </c>
      <c r="D107" s="14" t="s">
        <v>106</v>
      </c>
      <c r="E107" s="14" t="s">
        <v>175</v>
      </c>
      <c r="F107" s="27" t="str">
        <f>IFERROR(__xludf.DUMMYFUNCTION("REGEXREPLACE($A107, ""(?i)^8301(E000|E100|E200|E300)?"", """")"),"E90900520FB9B1B6B1B6B0")</f>
        <v>E90900520FB9B1B6B1B6B0</v>
      </c>
    </row>
    <row r="108">
      <c r="A108" s="18" t="s">
        <v>231</v>
      </c>
      <c r="B108" s="22" t="str">
        <f>IFERROR(__xludf.DUMMYFUNCTION("LEFT(REGEXREPLACE($A108, ""(?i)^8301(E000|E100|E200|E300)?"", """"), 4)"),"E909")</f>
        <v>E909</v>
      </c>
      <c r="C108" s="24">
        <v>46219.0</v>
      </c>
      <c r="D108" s="14" t="s">
        <v>75</v>
      </c>
      <c r="E108" s="14" t="s">
        <v>120</v>
      </c>
      <c r="F108" s="27" t="str">
        <f>IFERROR(__xludf.DUMMYFUNCTION("REGEXREPLACE($A108, ""(?i)^8301(E000|E100|E200|E300)?"", """")"),"E909005A0FA1A4B5B5A4B0")</f>
        <v>E909005A0FA1A4B5B5A4B0</v>
      </c>
    </row>
    <row r="109">
      <c r="A109" s="18" t="s">
        <v>232</v>
      </c>
      <c r="B109" s="22" t="str">
        <f>IFERROR(__xludf.DUMMYFUNCTION("LEFT(REGEXREPLACE($A109, ""(?i)^8301(E000|E100|E200|E300)?"", """"), 4)"),"E909")</f>
        <v>E909</v>
      </c>
      <c r="C109" s="24">
        <v>46219.0</v>
      </c>
      <c r="D109" s="14" t="s">
        <v>75</v>
      </c>
      <c r="E109" s="14" t="s">
        <v>120</v>
      </c>
      <c r="F109" s="27" t="str">
        <f>IFERROR(__xludf.DUMMYFUNCTION("REGEXREPLACE($A109, ""(?i)^8301(E000|E100|E200|E300)?"", """")"),"E909005F0FA7B9B9B9B9B0")</f>
        <v>E909005F0FA7B9B9B9B9B0</v>
      </c>
    </row>
    <row r="110">
      <c r="A110" s="18" t="s">
        <v>234</v>
      </c>
      <c r="B110" s="22" t="str">
        <f>IFERROR(__xludf.DUMMYFUNCTION("LEFT(REGEXREPLACE($A110, ""(?i)^8301(E000|E100|E200|E300)?"", """"), 4)"),"E909")</f>
        <v>E909</v>
      </c>
      <c r="C110" s="24">
        <v>46219.0</v>
      </c>
      <c r="D110" s="14" t="s">
        <v>75</v>
      </c>
      <c r="E110" s="14" t="s">
        <v>120</v>
      </c>
      <c r="F110" s="27" t="str">
        <f>IFERROR(__xludf.DUMMYFUNCTION("REGEXREPLACE($A110, ""(?i)^8301(E000|E100|E200|E300)?"", """")"),"E909005F0FB4A4A4AEAEB0")</f>
        <v>E909005F0FB4A4A4AEAEB0</v>
      </c>
    </row>
    <row r="111">
      <c r="A111" s="18" t="s">
        <v>235</v>
      </c>
      <c r="B111" s="22" t="str">
        <f>IFERROR(__xludf.DUMMYFUNCTION("LEFT(REGEXREPLACE($A111, ""(?i)^8301(E000|E100|E200|E300)?"", """"), 4)"),"E909")</f>
        <v>E909</v>
      </c>
      <c r="C111" s="24">
        <v>46219.0</v>
      </c>
      <c r="D111" s="14" t="s">
        <v>75</v>
      </c>
      <c r="E111" s="14" t="s">
        <v>120</v>
      </c>
      <c r="F111" s="27" t="str">
        <f>IFERROR(__xludf.DUMMYFUNCTION("REGEXREPLACE($A111, ""(?i)^8301(E000|E100|E200|E300)?"", """")"),"E90900650FAFA7A1A1A7B0")</f>
        <v>E90900650FAFA7A1A1A7B0</v>
      </c>
    </row>
    <row r="112">
      <c r="A112" s="18" t="s">
        <v>237</v>
      </c>
      <c r="B112" s="22" t="str">
        <f>IFERROR(__xludf.DUMMYFUNCTION("LEFT(REGEXREPLACE($A112, ""(?i)^8301(E000|E100|E200|E300)?"", """"), 4)"),"E909")</f>
        <v>E909</v>
      </c>
      <c r="C112" s="24">
        <v>46208.0</v>
      </c>
      <c r="D112" s="14" t="s">
        <v>75</v>
      </c>
      <c r="E112" s="14" t="s">
        <v>143</v>
      </c>
      <c r="F112" s="27" t="str">
        <f>IFERROR(__xludf.DUMMYFUNCTION("REGEXREPLACE($A112, ""(?i)^8301(E000|E100|E200|E300)?"", """")"),"E90900650FBBB5A4A4B5BA")</f>
        <v>E90900650FBBB5A4A4B5BA</v>
      </c>
    </row>
    <row r="113">
      <c r="A113" s="18" t="s">
        <v>238</v>
      </c>
      <c r="B113" s="22" t="str">
        <f>IFERROR(__xludf.DUMMYFUNCTION("LEFT(REGEXREPLACE($A113, ""(?i)^8301(E000|E100|E200|E300)?"", """"), 4)"),"E909")</f>
        <v>E909</v>
      </c>
      <c r="C113" s="24">
        <v>46219.0</v>
      </c>
      <c r="D113" s="14" t="s">
        <v>75</v>
      </c>
      <c r="E113" s="14" t="s">
        <v>120</v>
      </c>
      <c r="F113" s="27" t="str">
        <f>IFERROR(__xludf.DUMMYFUNCTION("REGEXREPLACE($A113, ""(?i)^8301(E000|E100|E200|E300)?"", """")"),"E90900680FA1A3A7A7A3B0")</f>
        <v>E90900680FA1A3A7A7A3B0</v>
      </c>
    </row>
    <row r="114">
      <c r="A114" s="18" t="s">
        <v>239</v>
      </c>
      <c r="B114" s="22" t="str">
        <f>IFERROR(__xludf.DUMMYFUNCTION("LEFT(REGEXREPLACE($A114, ""(?i)^8301(E000|E100|E200|E300)?"", """"), 4)"),"E909")</f>
        <v>E909</v>
      </c>
      <c r="C114" s="24">
        <v>46219.0</v>
      </c>
      <c r="D114" s="14" t="s">
        <v>75</v>
      </c>
      <c r="E114" s="14" t="s">
        <v>120</v>
      </c>
      <c r="F114" s="27" t="str">
        <f>IFERROR(__xludf.DUMMYFUNCTION("REGEXREPLACE($A114, ""(?i)^8301(E000|E100|E200|E300)?"", """")"),"E909007D0FA2B1B1B1B1B0")</f>
        <v>E909007D0FA2B1B1B1B1B0</v>
      </c>
    </row>
    <row r="115">
      <c r="A115" s="29" t="s">
        <v>240</v>
      </c>
      <c r="B115" s="22" t="str">
        <f>IFERROR(__xludf.DUMMYFUNCTION("LEFT(REGEXREPLACE($A115, ""(?i)^8301(E000|E100|E200|E300)?"", """"), 4)"),"E909")</f>
        <v>E909</v>
      </c>
      <c r="C115" s="24">
        <v>46207.0</v>
      </c>
      <c r="D115" s="14" t="s">
        <v>129</v>
      </c>
      <c r="E115" s="14" t="s">
        <v>137</v>
      </c>
      <c r="F115" s="27" t="str">
        <f>IFERROR(__xludf.DUMMYFUNCTION("REGEXREPLACE($A115, ""(?i)^8301(E000|E100|E200|E300)?"", """")"),"E90900820FAFB9ADB3A8B0")</f>
        <v>E90900820FAFB9ADB3A8B0</v>
      </c>
    </row>
    <row r="116" hidden="1">
      <c r="A116" s="18" t="s">
        <v>241</v>
      </c>
      <c r="B116" s="22" t="str">
        <f>IFERROR(__xludf.DUMMYFUNCTION("LEFT(REGEXREPLACE($A116, ""(?i)^8301(E000|E100|E200|E300)?"", """"), 4)"),"E909")</f>
        <v>E909</v>
      </c>
      <c r="C116" s="24">
        <v>46220.0</v>
      </c>
      <c r="D116" s="14" t="s">
        <v>106</v>
      </c>
      <c r="E116" s="14" t="s">
        <v>175</v>
      </c>
      <c r="F116" s="27" t="str">
        <f>IFERROR(__xludf.DUMMYFUNCTION("REGEXREPLACE($A116, ""(?i)^8301(E000|E100|E200|E300)?"", """")"),"E90900BA0FBBB3B9A2B5B0")</f>
        <v>E90900BA0FBBB3B9A2B5B0</v>
      </c>
    </row>
    <row r="117">
      <c r="A117" s="18" t="s">
        <v>242</v>
      </c>
      <c r="B117" s="22" t="str">
        <f>IFERROR(__xludf.DUMMYFUNCTION("LEFT(REGEXREPLACE($A117, ""(?i)^8301(E000|E100|E200|E300)?"", """"), 4)"),"E909")</f>
        <v>E909</v>
      </c>
      <c r="C117" s="24">
        <v>46219.0</v>
      </c>
      <c r="D117" s="14" t="s">
        <v>75</v>
      </c>
      <c r="E117" s="14" t="s">
        <v>120</v>
      </c>
      <c r="F117" s="27" t="str">
        <f>IFERROR(__xludf.DUMMYFUNCTION("REGEXREPLACE($A117, ""(?i)^8301(E000|E100|E200|E300)?"", """")"),"E90900EF0FAFA7A1A1A7B0")</f>
        <v>E90900EF0FAFA7A1A1A7B0</v>
      </c>
    </row>
    <row r="118">
      <c r="A118" s="18" t="s">
        <v>243</v>
      </c>
      <c r="B118" s="22" t="str">
        <f>IFERROR(__xludf.DUMMYFUNCTION("LEFT(REGEXREPLACE($A118, ""(?i)^8301(E000|E100|E200|E300)?"", """"), 4)"),"E909")</f>
        <v>E909</v>
      </c>
      <c r="C118" s="24">
        <v>46208.0</v>
      </c>
      <c r="D118" s="14" t="s">
        <v>75</v>
      </c>
      <c r="E118" s="14" t="s">
        <v>143</v>
      </c>
      <c r="F118" s="27" t="str">
        <f>IFERROR(__xludf.DUMMYFUNCTION("REGEXREPLACE($A118, ""(?i)^8301(E000|E100|E200|E300)?"", """")"),"E90900FF0FBBB5A4A4B5BB")</f>
        <v>E90900FF0FBBB5A4A4B5BB</v>
      </c>
    </row>
    <row r="119">
      <c r="A119" s="29" t="s">
        <v>244</v>
      </c>
      <c r="B119" s="22" t="str">
        <f>IFERROR(__xludf.DUMMYFUNCTION("LEFT(REGEXREPLACE($A119, ""(?i)^8301(E000|E100|E200|E300)?"", """"), 4)"),"E909")</f>
        <v>E909</v>
      </c>
      <c r="C119" s="30">
        <v>46235.0</v>
      </c>
      <c r="D119" s="76" t="s">
        <v>75</v>
      </c>
      <c r="E119" s="70" t="s">
        <v>120</v>
      </c>
      <c r="F119" s="27" t="str">
        <f>IFERROR(__xludf.DUMMYFUNCTION("REGEXREPLACE($A119, ""(?i)^8301(E000|E100|E200|E300)?"", """")"),"E90900210FAFA1A4A1A4B0")</f>
        <v>E90900210FAFA1A4A1A4B0</v>
      </c>
    </row>
    <row r="120">
      <c r="A120" s="29" t="s">
        <v>245</v>
      </c>
      <c r="B120" s="22" t="str">
        <f>IFERROR(__xludf.DUMMYFUNCTION("LEFT(REGEXREPLACE($A120, ""(?i)^8301(E000|E100|E200|E300)?"", """"), 4)"),"E909")</f>
        <v>E909</v>
      </c>
      <c r="C120" s="24">
        <v>46240.0</v>
      </c>
      <c r="D120" s="14" t="s">
        <v>129</v>
      </c>
      <c r="E120" s="70" t="s">
        <v>137</v>
      </c>
      <c r="F120" s="27" t="str">
        <f>IFERROR(__xludf.DUMMYFUNCTION("REGEXREPLACE($A120, ""(?i)^8301(E000|E100|E200|E300)?"", """")"),"E909002C0FB0A8A2A8A2B0")</f>
        <v>E909002C0FB0A8A2A8A2B0</v>
      </c>
    </row>
    <row r="121" hidden="1">
      <c r="A121" s="18" t="s">
        <v>170</v>
      </c>
      <c r="B121" s="22" t="str">
        <f>IFERROR(__xludf.DUMMYFUNCTION("LEFT(REGEXREPLACE($A121, ""(?i)^8301(E000|E100|E200|E300)?"", """"), 4)"),"E90B")</f>
        <v>E90B</v>
      </c>
      <c r="C121" s="24">
        <v>46220.0</v>
      </c>
      <c r="D121" s="14" t="s">
        <v>106</v>
      </c>
      <c r="E121" s="14" t="s">
        <v>107</v>
      </c>
      <c r="F121" s="27" t="str">
        <f>IFERROR(__xludf.DUMMYFUNCTION("REGEXREPLACE($A121, ""(?i)^8301(E000|E100|E200|E300)?"", """")"),"E90B00680FAFB5AFB5BD307B02")</f>
        <v>E90B00680FAFB5AFB5BD307B02</v>
      </c>
    </row>
    <row r="122" hidden="1">
      <c r="A122" s="18" t="s">
        <v>246</v>
      </c>
      <c r="B122" s="22" t="str">
        <f>IFERROR(__xludf.DUMMYFUNCTION("LEFT(REGEXREPLACE($A122, ""(?i)^8301(E000|E100|E200|E300)?"", """"), 4)"),"E90C")</f>
        <v>E90C</v>
      </c>
      <c r="C122" s="24">
        <v>46220.0</v>
      </c>
      <c r="D122" s="14" t="s">
        <v>106</v>
      </c>
      <c r="E122" s="14" t="s">
        <v>175</v>
      </c>
      <c r="F122" s="27" t="str">
        <f>IFERROR(__xludf.DUMMYFUNCTION("REGEXREPLACE($A122, ""(?i)^8301(E000|E100|E200|E300)?"", """")"),"E90C00010F4D4D5A940200488BB0")</f>
        <v>E90C00010F4D4D5A940200488BB0</v>
      </c>
    </row>
    <row r="123" hidden="1">
      <c r="A123" s="18" t="s">
        <v>247</v>
      </c>
      <c r="B123" s="22" t="str">
        <f>IFERROR(__xludf.DUMMYFUNCTION("LEFT(REGEXREPLACE($A123, ""(?i)^8301(E000|E100|E200|E300)?"", """"), 4)"),"E90C")</f>
        <v>E90C</v>
      </c>
      <c r="C123" s="24">
        <v>46220.0</v>
      </c>
      <c r="D123" s="14" t="s">
        <v>106</v>
      </c>
      <c r="E123" s="14" t="s">
        <v>107</v>
      </c>
      <c r="F123" s="27" t="str">
        <f>IFERROR(__xludf.DUMMYFUNCTION("REGEXREPLACE($A123, ""(?i)^8301(E000|E100|E200|E300)?"", """")"),"E90C00010F5C5C5BF000FC374895")</f>
        <v>E90C00010F5C5C5BF000FC374895</v>
      </c>
    </row>
    <row r="124">
      <c r="A124" s="18" t="s">
        <v>248</v>
      </c>
      <c r="B124" s="22" t="str">
        <f>IFERROR(__xludf.DUMMYFUNCTION("LEFT(REGEXREPLACE($A124, ""(?i)^8301(E000|E100|E200|E300)?"", """"), 4)"),"E90C")</f>
        <v>E90C</v>
      </c>
      <c r="C124" s="24">
        <v>46219.0</v>
      </c>
      <c r="D124" s="14" t="s">
        <v>75</v>
      </c>
      <c r="E124" s="14" t="s">
        <v>120</v>
      </c>
      <c r="F124" s="27" t="str">
        <f>IFERROR(__xludf.DUMMYFUNCTION("REGEXREPLACE($A124, ""(?i)^8301(E000|E100|E200|E300)?"", """")"),"E90C000F0FB1B9B5B1A2307B7DB0")</f>
        <v>E90C000F0FB1B9B5B1A2307B7DB0</v>
      </c>
    </row>
    <row r="125">
      <c r="A125" s="29" t="s">
        <v>236</v>
      </c>
      <c r="B125" s="22" t="str">
        <f>IFERROR(__xludf.DUMMYFUNCTION("LEFT(REGEXREPLACE($A125, ""(?i)^8301(E000|E100|E200|E300)?"", """"), 4)"),"E90C")</f>
        <v>E90C</v>
      </c>
      <c r="C125" s="24">
        <v>46240.0</v>
      </c>
      <c r="D125" s="14" t="s">
        <v>129</v>
      </c>
      <c r="E125" s="70" t="s">
        <v>137</v>
      </c>
      <c r="F125" s="27" t="str">
        <f>IFERROR(__xludf.DUMMYFUNCTION("REGEXREPLACE($A125, ""(?i)^8301(E000|E100|E200|E300)?"", """")"),"E90C00150F5B5548A5D1654003B8")</f>
        <v>E90C00150F5B5548A5D1654003B8</v>
      </c>
    </row>
    <row r="126">
      <c r="A126" s="29" t="s">
        <v>250</v>
      </c>
      <c r="B126" s="22" t="str">
        <f>IFERROR(__xludf.DUMMYFUNCTION("LEFT(REGEXREPLACE($A126, ""(?i)^8301(E000|E100|E200|E300)?"", """"), 4)"),"E90C")</f>
        <v>E90C</v>
      </c>
      <c r="C126" s="24">
        <v>46207.0</v>
      </c>
      <c r="D126" s="14" t="s">
        <v>129</v>
      </c>
      <c r="E126" s="14" t="s">
        <v>137</v>
      </c>
      <c r="F126" s="27" t="str">
        <f>IFERROR(__xludf.DUMMYFUNCTION("REGEXREPLACE($A126, ""(?i)^8301(E000|E100|E200|E300)?"", """")"),"E90C00190FB5B1A4B5B2307B40B0")</f>
        <v>E90C00190FB5B1A4B5B2307B40B0</v>
      </c>
    </row>
    <row r="127" hidden="1">
      <c r="A127" s="18" t="s">
        <v>177</v>
      </c>
      <c r="B127" s="22" t="str">
        <f>IFERROR(__xludf.DUMMYFUNCTION("LEFT(REGEXREPLACE($A127, ""(?i)^8301(E000|E100|E200|E300)?"", """"), 4)"),"E90C")</f>
        <v>E90C</v>
      </c>
      <c r="C127" s="24">
        <v>46220.0</v>
      </c>
      <c r="D127" s="14" t="s">
        <v>106</v>
      </c>
      <c r="E127" s="14" t="s">
        <v>175</v>
      </c>
      <c r="F127" s="27" t="str">
        <f>IFERROR(__xludf.DUMMYFUNCTION("REGEXREPLACE($A127, ""(?i)^8301(E000|E100|E200|E300)?"", """")"),"E90C00460FB5B1B9A4A8307B00B0")</f>
        <v>E90C00460FB5B1B9A4A8307B00B0</v>
      </c>
    </row>
    <row r="128">
      <c r="A128" s="18" t="s">
        <v>121</v>
      </c>
      <c r="B128" s="22" t="str">
        <f>IFERROR(__xludf.DUMMYFUNCTION("LEFT(REGEXREPLACE($A128, ""(?i)^8301(E000|E100|E200|E300)?"", """"), 4)"),"E90C")</f>
        <v>E90C</v>
      </c>
      <c r="C128" s="24">
        <v>46219.0</v>
      </c>
      <c r="D128" s="14" t="s">
        <v>75</v>
      </c>
      <c r="E128" s="14" t="s">
        <v>120</v>
      </c>
      <c r="F128" s="27" t="str">
        <f>IFERROR(__xludf.DUMMYFUNCTION("REGEXREPLACE($A128, ""(?i)^8301(E000|E100|E200|E300)?"", """")"),"E90C00640FB2A4B5B2B5307B7DB0")</f>
        <v>E90C00640FB2A4B5B2B5307B7DB0</v>
      </c>
    </row>
    <row r="129" hidden="1">
      <c r="A129" s="18" t="s">
        <v>202</v>
      </c>
      <c r="B129" s="22" t="str">
        <f>IFERROR(__xludf.DUMMYFUNCTION("LEFT(REGEXREPLACE($A129, ""(?i)^8301(E000|E100|E200|E300)?"", """"), 4)"),"E90C")</f>
        <v>E90C</v>
      </c>
      <c r="C129" s="24">
        <v>46220.0</v>
      </c>
      <c r="D129" s="14" t="s">
        <v>106</v>
      </c>
      <c r="E129" s="14" t="s">
        <v>175</v>
      </c>
      <c r="F129" s="27" t="str">
        <f>IFERROR(__xludf.DUMMYFUNCTION("REGEXREPLACE($A129, ""(?i)^8301(E000|E100|E200|E300)?"", """")"),"E90C00830FB9B1B6B1B6307B07B0")</f>
        <v>E90C00830FB9B1B6B1B6307B07B0</v>
      </c>
    </row>
    <row r="130">
      <c r="A130" s="29" t="s">
        <v>254</v>
      </c>
      <c r="B130" s="22" t="str">
        <f>IFERROR(__xludf.DUMMYFUNCTION("LEFT(REGEXREPLACE($A130, ""(?i)^8301(E000|E100|E200|E300)?"", """"), 4)"),"E90C")</f>
        <v>E90C</v>
      </c>
      <c r="C130" s="24">
        <v>46207.0</v>
      </c>
      <c r="D130" s="14" t="s">
        <v>129</v>
      </c>
      <c r="E130" s="14" t="s">
        <v>137</v>
      </c>
      <c r="F130" s="27" t="str">
        <f>IFERROR(__xludf.DUMMYFUNCTION("REGEXREPLACE($A130, ""(?i)^8301(E000|E100|E200|E300)?"", """")"),"E90C00930FAFB9ADB3A8307B00B0")</f>
        <v>E90C00930FAFB9ADB3A8307B00B0</v>
      </c>
    </row>
    <row r="131">
      <c r="A131" s="18" t="s">
        <v>149</v>
      </c>
      <c r="B131" s="22" t="str">
        <f>IFERROR(__xludf.DUMMYFUNCTION("LEFT(REGEXREPLACE($A131, ""(?i)^8301(E000|E100|E200|E300)?"", """"), 4)"),"E90C")</f>
        <v>E90C</v>
      </c>
      <c r="C131" s="24">
        <v>46219.0</v>
      </c>
      <c r="D131" s="14" t="s">
        <v>75</v>
      </c>
      <c r="E131" s="14" t="s">
        <v>120</v>
      </c>
      <c r="F131" s="27" t="str">
        <f>IFERROR(__xludf.DUMMYFUNCTION("REGEXREPLACE($A131, ""(?i)^8301(E000|E100|E200|E300)?"", """")"),"E90C00CF0FB9A4B9A4A8307B7BB0")</f>
        <v>E90C00CF0FB9A4B9A4A8307B7BB0</v>
      </c>
    </row>
    <row r="132" hidden="1">
      <c r="A132" s="18" t="s">
        <v>255</v>
      </c>
      <c r="B132" s="22" t="str">
        <f>IFERROR(__xludf.DUMMYFUNCTION("LEFT(REGEXREPLACE($A132, ""(?i)^8301(E000|E100|E200|E300)?"", """"), 4)"),"E90C")</f>
        <v>E90C</v>
      </c>
      <c r="C132" s="24">
        <v>46220.0</v>
      </c>
      <c r="D132" s="14" t="s">
        <v>106</v>
      </c>
      <c r="E132" s="14" t="s">
        <v>107</v>
      </c>
      <c r="F132" s="27" t="str">
        <f>IFERROR(__xludf.DUMMYFUNCTION("REGEXREPLACE($A132, ""(?i)^8301(E000|E100|E200|E300)?"", """")"),"E90C00EF0F4F4F5BF0FB14374895")</f>
        <v>E90C00EF0F4F4F5BF0FB14374895</v>
      </c>
    </row>
    <row r="133">
      <c r="A133" s="29" t="s">
        <v>256</v>
      </c>
      <c r="B133" s="22" t="str">
        <f>IFERROR(__xludf.DUMMYFUNCTION("LEFT(REGEXREPLACE($A133, ""(?i)^8301(E000|E100|E200|E300)?"", """"), 4)"),"E90C")</f>
        <v>E90C</v>
      </c>
      <c r="C133" s="24">
        <v>46240.0</v>
      </c>
      <c r="D133" s="14" t="s">
        <v>129</v>
      </c>
      <c r="E133" s="70" t="s">
        <v>137</v>
      </c>
      <c r="F133" s="27" t="str">
        <f>IFERROR(__xludf.DUMMYFUNCTION("REGEXREPLACE($A133, ""(?i)^8301(E000|E100|E200|E300)?"", """")"),"E90C00190FB5B1A4B5B2307B40B0")</f>
        <v>E90C00190FB5B1A4B5B2307B40B0</v>
      </c>
    </row>
    <row r="134">
      <c r="A134" s="29" t="s">
        <v>257</v>
      </c>
      <c r="B134" s="22" t="str">
        <f>IFERROR(__xludf.DUMMYFUNCTION("LEFT(REGEXREPLACE($A134, ""(?i)^8301(E000|E100|E200|E300)?"", """"), 4)"),"E90C")</f>
        <v>E90C</v>
      </c>
      <c r="C134" s="24">
        <v>46240.0</v>
      </c>
      <c r="D134" s="14" t="s">
        <v>129</v>
      </c>
      <c r="E134" s="70" t="s">
        <v>137</v>
      </c>
      <c r="F134" s="27" t="str">
        <f>IFERROR(__xludf.DUMMYFUNCTION("REGEXREPLACE($A134, ""(?i)^8301(E000|E100|E200|E300)?"", """")"),"E90C00930FAFB9ADB3A8307B00B0")</f>
        <v>E90C00930FAFB9ADB3A8307B00B0</v>
      </c>
    </row>
    <row r="135" hidden="1">
      <c r="A135" s="18" t="s">
        <v>258</v>
      </c>
      <c r="B135" s="22" t="str">
        <f>IFERROR(__xludf.DUMMYFUNCTION("LEFT(REGEXREPLACE($A135, ""(?i)^8301(E000|E100|E200|E300)?"", """"), 4)"),"E90D")</f>
        <v>E90D</v>
      </c>
      <c r="C135" s="24">
        <v>46220.0</v>
      </c>
      <c r="D135" s="14" t="s">
        <v>106</v>
      </c>
      <c r="E135" s="14" t="s">
        <v>107</v>
      </c>
      <c r="F135" s="27" t="str">
        <f>IFERROR(__xludf.DUMMYFUNCTION("REGEXREPLACE($A135, ""(?i)^8301(E000|E100|E200|E300)?"", """")"),"E90D00110FBBBBBBBBBB59320248AE")</f>
        <v>E90D00110FBBBBBBBBBB59320248AE</v>
      </c>
    </row>
    <row r="136" hidden="1">
      <c r="A136" s="18" t="s">
        <v>259</v>
      </c>
      <c r="B136" s="22" t="str">
        <f>IFERROR(__xludf.DUMMYFUNCTION("LEFT(REGEXREPLACE($A136, ""(?i)^8301(E000|E100|E200|E300)?"", """"), 4)"),"E90D")</f>
        <v>E90D</v>
      </c>
      <c r="C136" s="24">
        <v>46220.0</v>
      </c>
      <c r="D136" s="14" t="s">
        <v>106</v>
      </c>
      <c r="E136" s="14" t="s">
        <v>107</v>
      </c>
      <c r="F136" s="27" t="str">
        <f>IFERROR(__xludf.DUMMYFUNCTION("REGEXREPLACE($A136, ""(?i)^8301(E000|E100|E200|E300)?"", """")"),"E90D00120FBBBBBBBBBB59320248AE")</f>
        <v>E90D00120FBBBBBBBBBB59320248AE</v>
      </c>
    </row>
    <row r="137" hidden="1">
      <c r="A137" s="18" t="s">
        <v>260</v>
      </c>
      <c r="B137" s="22" t="str">
        <f>IFERROR(__xludf.DUMMYFUNCTION("LEFT(REGEXREPLACE($A137, ""(?i)^8301(E000|E100|E200|E300)?"", """"), 4)"),"E90D")</f>
        <v>E90D</v>
      </c>
      <c r="C137" s="24">
        <v>46220.0</v>
      </c>
      <c r="D137" s="14" t="s">
        <v>106</v>
      </c>
      <c r="E137" s="14" t="s">
        <v>107</v>
      </c>
      <c r="F137" s="27" t="str">
        <f>IFERROR(__xludf.DUMMYFUNCTION("REGEXREPLACE($A137, ""(?i)^8301(E000|E100|E200|E300)?"", """")"),"E90D00120FBCA4B5A4B5590FFB48AE")</f>
        <v>E90D00120FBCA4B5A4B5590FFB48AE</v>
      </c>
    </row>
    <row r="138" hidden="1">
      <c r="A138" s="18" t="s">
        <v>261</v>
      </c>
      <c r="B138" s="22" t="str">
        <f>IFERROR(__xludf.DUMMYFUNCTION("LEFT(REGEXREPLACE($A138, ""(?i)^8301(E000|E100|E200|E300)?"", """"), 4)"),"E90D")</f>
        <v>E90D</v>
      </c>
      <c r="C138" s="24">
        <v>46220.0</v>
      </c>
      <c r="D138" s="14" t="s">
        <v>106</v>
      </c>
      <c r="E138" s="14" t="s">
        <v>107</v>
      </c>
      <c r="F138" s="27" t="str">
        <f>IFERROR(__xludf.DUMMYFUNCTION("REGEXREPLACE($A138, ""(?i)^8301(E000|E100|E200|E300)?"", """")"),"E90D00120FBCA4B9A4B9590FFB48AE")</f>
        <v>E90D00120FBCA4B9A4B9590FFB48AE</v>
      </c>
    </row>
    <row r="139" hidden="1">
      <c r="A139" s="18" t="s">
        <v>262</v>
      </c>
      <c r="B139" s="22" t="str">
        <f>IFERROR(__xludf.DUMMYFUNCTION("LEFT(REGEXREPLACE($A139, ""(?i)^8301(E000|E100|E200|E300)?"", """"), 4)"),"E90D")</f>
        <v>E90D</v>
      </c>
      <c r="C139" s="24">
        <v>46220.0</v>
      </c>
      <c r="D139" s="14" t="s">
        <v>106</v>
      </c>
      <c r="E139" s="14" t="s">
        <v>107</v>
      </c>
      <c r="F139" s="27" t="str">
        <f>IFERROR(__xludf.DUMMYFUNCTION("REGEXREPLACE($A139, ""(?i)^8301(E000|E100|E200|E300)?"", """")"),"E90D00130FB4B5B5B5B3590FFB48AE")</f>
        <v>E90D00130FB4B5B5B5B3590FFB48AE</v>
      </c>
    </row>
    <row r="140" hidden="1">
      <c r="A140" s="18" t="s">
        <v>263</v>
      </c>
      <c r="B140" s="22" t="str">
        <f>IFERROR(__xludf.DUMMYFUNCTION("LEFT(REGEXREPLACE($A140, ""(?i)^8301(E000|E100|E200|E300)?"", """"), 4)"),"E90D")</f>
        <v>E90D</v>
      </c>
      <c r="C140" s="24">
        <v>46220.0</v>
      </c>
      <c r="D140" s="14" t="s">
        <v>106</v>
      </c>
      <c r="E140" s="14" t="s">
        <v>107</v>
      </c>
      <c r="F140" s="27" t="str">
        <f>IFERROR(__xludf.DUMMYFUNCTION("REGEXREPLACE($A140, ""(?i)^8301(E000|E100|E200|E300)?"", """")"),"E90D00130FBBBBBBBBBB59320248AE")</f>
        <v>E90D00130FBBBBBBBBBB59320248AE</v>
      </c>
    </row>
    <row r="141" hidden="1">
      <c r="A141" s="18" t="s">
        <v>264</v>
      </c>
      <c r="B141" s="22" t="str">
        <f>IFERROR(__xludf.DUMMYFUNCTION("LEFT(REGEXREPLACE($A141, ""(?i)^8301(E000|E100|E200|E300)?"", """"), 4)"),"E90D")</f>
        <v>E90D</v>
      </c>
      <c r="C141" s="24">
        <v>46220.0</v>
      </c>
      <c r="D141" s="14" t="s">
        <v>106</v>
      </c>
      <c r="E141" s="14" t="s">
        <v>107</v>
      </c>
      <c r="F141" s="27" t="str">
        <f>IFERROR(__xludf.DUMMYFUNCTION("REGEXREPLACE($A141, ""(?i)^8301(E000|E100|E200|E300)?"", """")"),"E90D00160FB2AFB2AFB259190E48AE")</f>
        <v>E90D00160FB2AFB2AFB259190E48AE</v>
      </c>
    </row>
    <row r="142" hidden="1">
      <c r="A142" s="18" t="s">
        <v>265</v>
      </c>
      <c r="B142" s="22" t="str">
        <f>IFERROR(__xludf.DUMMYFUNCTION("LEFT(REGEXREPLACE($A142, ""(?i)^8301(E000|E100|E200|E300)?"", """"), 4)"),"E90D")</f>
        <v>E90D</v>
      </c>
      <c r="C142" s="24">
        <v>46220.0</v>
      </c>
      <c r="D142" s="14" t="s">
        <v>106</v>
      </c>
      <c r="E142" s="14" t="s">
        <v>107</v>
      </c>
      <c r="F142" s="27" t="str">
        <f>IFERROR(__xludf.DUMMYFUNCTION("REGEXREPLACE($A142, ""(?i)^8301(E000|E100|E200|E300)?"", """")"),"E90D00160FB2B2B2B2B259190248AE")</f>
        <v>E90D00160FB2B2B2B2B259190248AE</v>
      </c>
    </row>
    <row r="143" hidden="1">
      <c r="A143" s="18" t="s">
        <v>267</v>
      </c>
      <c r="B143" s="22" t="str">
        <f>IFERROR(__xludf.DUMMYFUNCTION("LEFT(REGEXREPLACE($A143, ""(?i)^8301(E000|E100|E200|E300)?"", """"), 4)"),"E90D")</f>
        <v>E90D</v>
      </c>
      <c r="C143" s="24">
        <v>46220.0</v>
      </c>
      <c r="D143" s="14" t="s">
        <v>106</v>
      </c>
      <c r="E143" s="14" t="s">
        <v>107</v>
      </c>
      <c r="F143" s="27" t="str">
        <f>IFERROR(__xludf.DUMMYFUNCTION("REGEXREPLACE($A143, ""(?i)^8301(E000|E100|E200|E300)?"", """")"),"E90D001F0FB9B9B9B9B959190248AE")</f>
        <v>E90D001F0FB9B9B9B9B959190248AE</v>
      </c>
    </row>
    <row r="144" hidden="1">
      <c r="A144" s="18" t="s">
        <v>269</v>
      </c>
      <c r="B144" s="22" t="str">
        <f>IFERROR(__xludf.DUMMYFUNCTION("LEFT(REGEXREPLACE($A144, ""(?i)^8301(E000|E100|E200|E300)?"", """"), 4)"),"E90D")</f>
        <v>E90D</v>
      </c>
      <c r="C144" s="24">
        <v>46220.0</v>
      </c>
      <c r="D144" s="14" t="s">
        <v>106</v>
      </c>
      <c r="E144" s="14" t="s">
        <v>107</v>
      </c>
      <c r="F144" s="27" t="str">
        <f>IFERROR(__xludf.DUMMYFUNCTION("REGEXREPLACE($A144, ""(?i)^8301(E000|E100|E200|E300)?"", """")"),"E90D0048D255004B69D25822323078")</f>
        <v>E90D0048D255004B69D25822323078</v>
      </c>
    </row>
    <row r="145" hidden="1">
      <c r="A145" s="18" t="s">
        <v>270</v>
      </c>
      <c r="B145" s="22" t="str">
        <f>IFERROR(__xludf.DUMMYFUNCTION("LEFT(REGEXREPLACE($A145, ""(?i)^8301(E000|E100|E200|E300)?"", """"), 4)"),"E90D")</f>
        <v>E90D</v>
      </c>
      <c r="C145" s="24">
        <v>46220.0</v>
      </c>
      <c r="D145" s="14" t="s">
        <v>106</v>
      </c>
      <c r="E145" s="14" t="s">
        <v>107</v>
      </c>
      <c r="F145" s="27" t="str">
        <f>IFERROR(__xludf.DUMMYFUNCTION("REGEXREPLACE($A145, ""(?i)^8301(E000|E100|E200|E300)?"", """")"),"E90D004FD255004604D25800000678")</f>
        <v>E90D004FD255004604D25800000678</v>
      </c>
    </row>
    <row r="146" hidden="1">
      <c r="A146" s="18" t="s">
        <v>271</v>
      </c>
      <c r="B146" s="22" t="str">
        <f>IFERROR(__xludf.DUMMYFUNCTION("LEFT(REGEXREPLACE($A146, ""(?i)^8301(E000|E100|E200|E300)?"", """"), 4)"),"E90D")</f>
        <v>E90D</v>
      </c>
      <c r="C146" s="24">
        <v>46220.0</v>
      </c>
      <c r="D146" s="14" t="s">
        <v>106</v>
      </c>
      <c r="E146" s="14" t="s">
        <v>107</v>
      </c>
      <c r="F146" s="27" t="str">
        <f>IFERROR(__xludf.DUMMYFUNCTION("REGEXREPLACE($A146, ""(?i)^8301(E000|E100|E200|E300)?"", """")"),"E90D004FD2555D63FCD2580000FC78")</f>
        <v>E90D004FD2555D63FCD2580000FC78</v>
      </c>
    </row>
    <row r="147" hidden="1">
      <c r="A147" s="18" t="s">
        <v>272</v>
      </c>
      <c r="B147" s="22" t="str">
        <f>IFERROR(__xludf.DUMMYFUNCTION("LEFT(REGEXREPLACE($A147, ""(?i)^8301(E000|E100|E200|E300)?"", """"), 4)"),"E90D")</f>
        <v>E90D</v>
      </c>
      <c r="C147" s="24">
        <v>46220.0</v>
      </c>
      <c r="D147" s="14" t="s">
        <v>106</v>
      </c>
      <c r="E147" s="14" t="s">
        <v>107</v>
      </c>
      <c r="F147" s="27" t="str">
        <f>IFERROR(__xludf.DUMMYFUNCTION("REGEXREPLACE($A147, ""(?i)^8301(E000|E100|E200|E300)?"", """")"),"E90D005FD255FC6E1ED25800000078")</f>
        <v>E90D005FD255FC6E1ED25800000078</v>
      </c>
    </row>
    <row r="148" hidden="1">
      <c r="A148" s="18" t="s">
        <v>273</v>
      </c>
      <c r="B148" s="22" t="str">
        <f>IFERROR(__xludf.DUMMYFUNCTION("LEFT(REGEXREPLACE($A148, ""(?i)^8301(E000|E100|E200|E300)?"", """"), 4)"),"E90D")</f>
        <v>E90D</v>
      </c>
      <c r="C148" s="24">
        <v>46220.0</v>
      </c>
      <c r="D148" s="14" t="s">
        <v>106</v>
      </c>
      <c r="E148" s="14" t="s">
        <v>107</v>
      </c>
      <c r="F148" s="27" t="str">
        <f>IFERROR(__xludf.DUMMYFUNCTION("REGEXREPLACE($A148, ""(?i)^8301(E000|E100|E200|E300)?"", """")"),"E90D0064D255FC0000D25864420078")</f>
        <v>E90D0064D255FC0000D25864420078</v>
      </c>
    </row>
    <row r="149" hidden="1">
      <c r="A149" s="18" t="s">
        <v>274</v>
      </c>
      <c r="B149" s="22" t="str">
        <f>IFERROR(__xludf.DUMMYFUNCTION("LEFT(REGEXREPLACE($A149, ""(?i)^8301(E000|E100|E200|E300)?"", """"), 4)"),"E90D")</f>
        <v>E90D</v>
      </c>
      <c r="C149" s="24">
        <v>46220.0</v>
      </c>
      <c r="D149" s="14" t="s">
        <v>106</v>
      </c>
      <c r="E149" s="14" t="s">
        <v>107</v>
      </c>
      <c r="F149" s="27" t="str">
        <f>IFERROR(__xludf.DUMMYFUNCTION("REGEXREPLACE($A149, ""(?i)^8301(E000|E100|E200|E300)?"", """")"),"E90D0066D255FC4800D2580000FC78")</f>
        <v>E90D0066D255FC4800D2580000FC78</v>
      </c>
    </row>
    <row r="150" hidden="1">
      <c r="A150" s="18" t="s">
        <v>275</v>
      </c>
      <c r="B150" s="22" t="str">
        <f>IFERROR(__xludf.DUMMYFUNCTION("LEFT(REGEXREPLACE($A150, ""(?i)^8301(E000|E100|E200|E300)?"", """"), 4)"),"E90D")</f>
        <v>E90D</v>
      </c>
      <c r="C150" s="24">
        <v>46220.0</v>
      </c>
      <c r="D150" s="14" t="s">
        <v>106</v>
      </c>
      <c r="E150" s="14" t="s">
        <v>107</v>
      </c>
      <c r="F150" s="27" t="str">
        <f>IFERROR(__xludf.DUMMYFUNCTION("REGEXREPLACE($A150, ""(?i)^8301(E000|E100|E200|E300)?"", """")"),"E90D0067D2552B2E00D2582400FC78")</f>
        <v>E90D0067D2552B2E00D2582400FC78</v>
      </c>
    </row>
    <row r="151" hidden="1">
      <c r="A151" s="18" t="s">
        <v>276</v>
      </c>
      <c r="B151" s="22" t="str">
        <f>IFERROR(__xludf.DUMMYFUNCTION("LEFT(REGEXREPLACE($A151, ""(?i)^8301(E000|E100|E200|E300)?"", """"), 4)"),"E90D")</f>
        <v>E90D</v>
      </c>
      <c r="C151" s="24">
        <v>46220.0</v>
      </c>
      <c r="D151" s="14" t="s">
        <v>106</v>
      </c>
      <c r="E151" s="14" t="s">
        <v>107</v>
      </c>
      <c r="F151" s="27" t="str">
        <f>IFERROR(__xludf.DUMMYFUNCTION("REGEXREPLACE($A151, ""(?i)^8301(E000|E100|E200|E300)?"", """")"),"E90D006AD255FC0000D25800FC0078")</f>
        <v>E90D006AD255FC0000D25800FC0078</v>
      </c>
    </row>
    <row r="152" hidden="1">
      <c r="A152" s="18" t="s">
        <v>277</v>
      </c>
      <c r="B152" s="22" t="str">
        <f>IFERROR(__xludf.DUMMYFUNCTION("LEFT(REGEXREPLACE($A152, ""(?i)^8301(E000|E100|E200|E300)?"", """"), 4)"),"E90D")</f>
        <v>E90D</v>
      </c>
      <c r="C152" s="24">
        <v>46220.0</v>
      </c>
      <c r="D152" s="14" t="s">
        <v>106</v>
      </c>
      <c r="E152" s="14" t="s">
        <v>107</v>
      </c>
      <c r="F152" s="27" t="str">
        <f>IFERROR(__xludf.DUMMYFUNCTION("REGEXREPLACE($A152, ""(?i)^8301(E000|E100|E200|E300)?"", """")"),"E90D006CD255203231D25800006478")</f>
        <v>E90D006CD255203231D25800006478</v>
      </c>
    </row>
    <row r="153" hidden="1">
      <c r="A153" s="18" t="s">
        <v>278</v>
      </c>
      <c r="B153" s="22" t="str">
        <f>IFERROR(__xludf.DUMMYFUNCTION("LEFT(REGEXREPLACE($A153, ""(?i)^8301(E000|E100|E200|E300)?"", """"), 4)"),"E90D")</f>
        <v>E90D</v>
      </c>
      <c r="C153" s="24">
        <v>46220.0</v>
      </c>
      <c r="D153" s="14" t="s">
        <v>106</v>
      </c>
      <c r="E153" s="14" t="s">
        <v>107</v>
      </c>
      <c r="F153" s="27" t="str">
        <f>IFERROR(__xludf.DUMMYFUNCTION("REGEXREPLACE($A153, ""(?i)^8301(E000|E100|E200|E300)?"", """")"),"E90D007AD25500FCFCD25856004178")</f>
        <v>E90D007AD25500FCFCD25856004178</v>
      </c>
    </row>
    <row r="154" hidden="1">
      <c r="A154" s="18" t="s">
        <v>279</v>
      </c>
      <c r="B154" s="22" t="str">
        <f>IFERROR(__xludf.DUMMYFUNCTION("LEFT(REGEXREPLACE($A154, ""(?i)^8301(E000|E100|E200|E300)?"", """"), 4)"),"E90D")</f>
        <v>E90D</v>
      </c>
      <c r="C154" s="24">
        <v>46220.0</v>
      </c>
      <c r="D154" s="14" t="s">
        <v>106</v>
      </c>
      <c r="E154" s="14" t="s">
        <v>107</v>
      </c>
      <c r="F154" s="27" t="str">
        <f>IFERROR(__xludf.DUMMYFUNCTION("REGEXREPLACE($A154, ""(?i)^8301(E000|E100|E200|E300)?"", """")"),"E90D008AD255FC6E1ED25800000078")</f>
        <v>E90D008AD255FC6E1ED25800000078</v>
      </c>
    </row>
    <row r="155" hidden="1">
      <c r="A155" s="18" t="s">
        <v>281</v>
      </c>
      <c r="B155" s="22" t="str">
        <f>IFERROR(__xludf.DUMMYFUNCTION("LEFT(REGEXREPLACE($A155, ""(?i)^8301(E000|E100|E200|E300)?"", """"), 4)"),"E90D")</f>
        <v>E90D</v>
      </c>
      <c r="C155" s="24">
        <v>46220.0</v>
      </c>
      <c r="D155" s="14" t="s">
        <v>106</v>
      </c>
      <c r="E155" s="14" t="s">
        <v>107</v>
      </c>
      <c r="F155" s="27" t="str">
        <f>IFERROR(__xludf.DUMMYFUNCTION("REGEXREPLACE($A155, ""(?i)^8301(E000|E100|E200|E300)?"", """")"),"E90D00CFD255FC6E1ED25800000078")</f>
        <v>E90D00CFD255FC6E1ED25800000078</v>
      </c>
    </row>
    <row r="156">
      <c r="A156" s="18" t="s">
        <v>282</v>
      </c>
      <c r="B156" s="22" t="str">
        <f>IFERROR(__xludf.DUMMYFUNCTION("LEFT(REGEXREPLACE($A156, ""(?i)^8301(E000|E100|E200|E300)?"", """"), 4)"),"E90E")</f>
        <v>E90E</v>
      </c>
      <c r="C156" s="24">
        <v>46219.0</v>
      </c>
      <c r="D156" s="14" t="s">
        <v>75</v>
      </c>
      <c r="E156" s="14" t="s">
        <v>120</v>
      </c>
      <c r="F156" s="27" t="str">
        <f>IFERROR(__xludf.DUMMYFUNCTION("REGEXREPLACE($A156, ""(?i)^8301(E000|E100|E200|E300)?"", """")"),"E90E00010FB1B1B1B1B159190248AEB0")</f>
        <v>E90E00010FB1B1B1B1B159190248AEB0</v>
      </c>
    </row>
    <row r="157">
      <c r="A157" s="29" t="s">
        <v>284</v>
      </c>
      <c r="B157" s="22" t="str">
        <f>IFERROR(__xludf.DUMMYFUNCTION("LEFT(REGEXREPLACE($A157, ""(?i)^8301(E000|E100|E200|E300)?"", """"), 4)"),"E90E")</f>
        <v>E90E</v>
      </c>
      <c r="C157" s="24">
        <v>46207.0</v>
      </c>
      <c r="D157" s="14" t="s">
        <v>129</v>
      </c>
      <c r="E157" s="14" t="s">
        <v>137</v>
      </c>
      <c r="F157" s="27" t="str">
        <f>IFERROR(__xludf.DUMMYFUNCTION("REGEXREPLACE($A157, ""(?i)^8301(E000|E100|E200|E300)?"", """")"),"E90E00010FBBBBBBBBBB59190248AEB8")</f>
        <v>E90E00010FBBBBBBBBBB59190248AEB8</v>
      </c>
    </row>
    <row r="158">
      <c r="A158" s="18" t="s">
        <v>285</v>
      </c>
      <c r="B158" s="22" t="str">
        <f>IFERROR(__xludf.DUMMYFUNCTION("LEFT(REGEXREPLACE($A158, ""(?i)^8301(E000|E100|E200|E300)?"", """"), 4)"),"E90E")</f>
        <v>E90E</v>
      </c>
      <c r="C158" s="24">
        <v>46219.0</v>
      </c>
      <c r="D158" s="14" t="s">
        <v>75</v>
      </c>
      <c r="E158" s="14" t="s">
        <v>120</v>
      </c>
      <c r="F158" s="27" t="str">
        <f>IFERROR(__xludf.DUMMYFUNCTION("REGEXREPLACE($A158, ""(?i)^8301(E000|E100|E200|E300)?"", """")"),"E90E00020FB1B0B3AFAF59190248AEB0")</f>
        <v>E90E00020FB1B0B3AFAF59190248AEB0</v>
      </c>
    </row>
    <row r="159">
      <c r="A159" s="29" t="s">
        <v>287</v>
      </c>
      <c r="B159" s="22" t="str">
        <f>IFERROR(__xludf.DUMMYFUNCTION("LEFT(REGEXREPLACE($A159, ""(?i)^8301(E000|E100|E200|E300)?"", """"), 4)"),"E90E")</f>
        <v>E90E</v>
      </c>
      <c r="C159" s="24">
        <v>46207.0</v>
      </c>
      <c r="D159" s="14" t="s">
        <v>129</v>
      </c>
      <c r="E159" s="14" t="s">
        <v>137</v>
      </c>
      <c r="F159" s="27" t="str">
        <f>IFERROR(__xludf.DUMMYFUNCTION("REGEXREPLACE($A159, ""(?i)^8301(E000|E100|E200|E300)?"", """")"),"E90E00020FBBBBBBBBBB59190248AEB7")</f>
        <v>E90E00020FBBBBBBBBBB59190248AEB7</v>
      </c>
    </row>
    <row r="160">
      <c r="A160" s="29" t="s">
        <v>288</v>
      </c>
      <c r="B160" s="22" t="str">
        <f>IFERROR(__xludf.DUMMYFUNCTION("LEFT(REGEXREPLACE($A160, ""(?i)^8301(E000|E100|E200|E300)?"", """"), 4)"),"E90E")</f>
        <v>E90E</v>
      </c>
      <c r="C160" s="24">
        <v>46207.0</v>
      </c>
      <c r="D160" s="14" t="s">
        <v>129</v>
      </c>
      <c r="E160" s="14" t="s">
        <v>137</v>
      </c>
      <c r="F160" s="27" t="str">
        <f>IFERROR(__xludf.DUMMYFUNCTION("REGEXREPLACE($A160, ""(?i)^8301(E000|E100|E200|E300)?"", """")"),"E90E00040FBBBBBBBBBB59190248AEB8")</f>
        <v>E90E00040FBBBBBBBBBB59190248AEB8</v>
      </c>
    </row>
    <row r="161">
      <c r="A161" s="18" t="s">
        <v>289</v>
      </c>
      <c r="B161" s="22" t="str">
        <f>IFERROR(__xludf.DUMMYFUNCTION("LEFT(REGEXREPLACE($A161, ""(?i)^8301(E000|E100|E200|E300)?"", """"), 4)"),"E90E")</f>
        <v>E90E</v>
      </c>
      <c r="C161" s="24">
        <v>46208.0</v>
      </c>
      <c r="D161" s="14" t="s">
        <v>75</v>
      </c>
      <c r="E161" s="14" t="s">
        <v>143</v>
      </c>
      <c r="F161" s="27" t="str">
        <f>IFERROR(__xludf.DUMMYFUNCTION("REGEXREPLACE($A161, ""(?i)^8301(E000|E100|E200|E300)?"", """")"),"E90E00050FBBB5A4A4B559190248AEB7")</f>
        <v>E90E00050FBBB5A4A4B559190248AEB7</v>
      </c>
    </row>
    <row r="162">
      <c r="A162" s="29" t="s">
        <v>290</v>
      </c>
      <c r="B162" s="22" t="str">
        <f>IFERROR(__xludf.DUMMYFUNCTION("LEFT(REGEXREPLACE($A162, ""(?i)^8301(E000|E100|E200|E300)?"", """"), 4)"),"E90E")</f>
        <v>E90E</v>
      </c>
      <c r="C162" s="24">
        <v>46207.0</v>
      </c>
      <c r="D162" s="14" t="s">
        <v>129</v>
      </c>
      <c r="E162" s="14" t="s">
        <v>137</v>
      </c>
      <c r="F162" s="27" t="str">
        <f>IFERROR(__xludf.DUMMYFUNCTION("REGEXREPLACE($A162, ""(?i)^8301(E000|E100|E200|E300)?"", """")"),"E90E00060FBBBBBBBBBB59190248AEB7")</f>
        <v>E90E00060FBBBBBBBBBB59190248AEB7</v>
      </c>
    </row>
    <row r="163">
      <c r="A163" s="29" t="s">
        <v>291</v>
      </c>
      <c r="B163" s="22" t="str">
        <f>IFERROR(__xludf.DUMMYFUNCTION("LEFT(REGEXREPLACE($A163, ""(?i)^8301(E000|E100|E200|E300)?"", """"), 4)"),"E90E")</f>
        <v>E90E</v>
      </c>
      <c r="C163" s="24">
        <v>46240.0</v>
      </c>
      <c r="D163" s="14" t="s">
        <v>129</v>
      </c>
      <c r="E163" s="70" t="s">
        <v>137</v>
      </c>
      <c r="F163" s="27" t="str">
        <f>IFERROR(__xludf.DUMMYFUNCTION("REGEXREPLACE($A163, ""(?i)^8301(E000|E100|E200|E300)?"", """")"),"E90E00070FA4B5B3B9B259190248AEB8")</f>
        <v>E90E00070FA4B5B3B9B259190248AEB8</v>
      </c>
    </row>
    <row r="164" hidden="1">
      <c r="A164" s="18" t="s">
        <v>292</v>
      </c>
      <c r="B164" s="22" t="str">
        <f>IFERROR(__xludf.DUMMYFUNCTION("LEFT(REGEXREPLACE($A164, ""(?i)^8301(E000|E100|E200|E300)?"", """"), 4)"),"E90E")</f>
        <v>E90E</v>
      </c>
      <c r="C164" s="24">
        <v>46220.0</v>
      </c>
      <c r="D164" s="14" t="s">
        <v>106</v>
      </c>
      <c r="E164" s="14" t="s">
        <v>175</v>
      </c>
      <c r="F164" s="27" t="str">
        <f>IFERROR(__xludf.DUMMYFUNCTION("REGEXREPLACE($A164, ""(?i)^8301(E000|E100|E200|E300)?"", """")"),"E90E000B0FB6B6A3B6A359190248AEB0")</f>
        <v>E90E000B0FB6B6A3B6A359190248AEB0</v>
      </c>
    </row>
    <row r="165">
      <c r="A165" s="18" t="s">
        <v>293</v>
      </c>
      <c r="B165" s="22" t="str">
        <f>IFERROR(__xludf.DUMMYFUNCTION("LEFT(REGEXREPLACE($A165, ""(?i)^8301(E000|E100|E200|E300)?"", """"), 4)"),"E90E")</f>
        <v>E90E</v>
      </c>
      <c r="C165" s="24">
        <v>46219.0</v>
      </c>
      <c r="D165" s="14" t="s">
        <v>75</v>
      </c>
      <c r="E165" s="14" t="s">
        <v>120</v>
      </c>
      <c r="F165" s="27" t="str">
        <f>IFERROR(__xludf.DUMMYFUNCTION("REGEXREPLACE($A165, ""(?i)^8301(E000|E100|E200|E300)?"", """")"),"E90E00110FA3A3A3A3A359190248AEB0")</f>
        <v>E90E00110FA3A3A3A3A359190248AEB0</v>
      </c>
    </row>
    <row r="166">
      <c r="A166" s="18" t="s">
        <v>295</v>
      </c>
      <c r="B166" s="22" t="str">
        <f>IFERROR(__xludf.DUMMYFUNCTION("LEFT(REGEXREPLACE($A166, ""(?i)^8301(E000|E100|E200|E300)?"", """"), 4)"),"E90E")</f>
        <v>E90E</v>
      </c>
      <c r="C166" s="24">
        <v>46219.0</v>
      </c>
      <c r="D166" s="14" t="s">
        <v>75</v>
      </c>
      <c r="E166" s="14" t="s">
        <v>120</v>
      </c>
      <c r="F166" s="27" t="str">
        <f>IFERROR(__xludf.DUMMYFUNCTION("REGEXREPLACE($A166, ""(?i)^8301(E000|E100|E200|E300)?"", """")"),"E90E00110FB1B1B1B1B159190248AEB0")</f>
        <v>E90E00110FB1B1B1B1B159190248AEB0</v>
      </c>
    </row>
    <row r="167">
      <c r="A167" s="29" t="s">
        <v>296</v>
      </c>
      <c r="B167" s="22" t="str">
        <f>IFERROR(__xludf.DUMMYFUNCTION("LEFT(REGEXREPLACE($A167, ""(?i)^8301(E000|E100|E200|E300)?"", """"), 4)"),"E90E")</f>
        <v>E90E</v>
      </c>
      <c r="C167" s="24">
        <v>46207.0</v>
      </c>
      <c r="D167" s="14" t="s">
        <v>129</v>
      </c>
      <c r="E167" s="14" t="s">
        <v>137</v>
      </c>
      <c r="F167" s="27" t="str">
        <f>IFERROR(__xludf.DUMMYFUNCTION("REGEXREPLACE($A167, ""(?i)^8301(E000|E100|E200|E300)?"", """")"),"E90E00110FB2B2B2B2B259190248AEB0")</f>
        <v>E90E00110FB2B2B2B2B259190248AEB0</v>
      </c>
    </row>
    <row r="168">
      <c r="A168" s="18" t="s">
        <v>297</v>
      </c>
      <c r="B168" s="22" t="str">
        <f>IFERROR(__xludf.DUMMYFUNCTION("LEFT(REGEXREPLACE($A168, ""(?i)^8301(E000|E100|E200|E300)?"", """"), 4)"),"E90E")</f>
        <v>E90E</v>
      </c>
      <c r="C168" s="24">
        <v>46219.0</v>
      </c>
      <c r="D168" s="14" t="s">
        <v>75</v>
      </c>
      <c r="E168" s="14" t="s">
        <v>120</v>
      </c>
      <c r="F168" s="27" t="str">
        <f>IFERROR(__xludf.DUMMYFUNCTION("REGEXREPLACE($A168, ""(?i)^8301(E000|E100|E200|E300)?"", """")"),"E90E0011D255000000D25800000078B0")</f>
        <v>E90E0011D255000000D25800000078B0</v>
      </c>
    </row>
    <row r="169">
      <c r="A169" s="18" t="s">
        <v>298</v>
      </c>
      <c r="B169" s="22" t="str">
        <f>IFERROR(__xludf.DUMMYFUNCTION("LEFT(REGEXREPLACE($A169, ""(?i)^8301(E000|E100|E200|E300)?"", """"), 4)"),"E90E")</f>
        <v>E90E</v>
      </c>
      <c r="C169" s="24">
        <v>46208.0</v>
      </c>
      <c r="D169" s="14" t="s">
        <v>75</v>
      </c>
      <c r="E169" s="14" t="s">
        <v>143</v>
      </c>
      <c r="F169" s="27" t="str">
        <f>IFERROR(__xludf.DUMMYFUNCTION("REGEXREPLACE($A169, ""(?i)^8301(E000|E100|E200|E300)?"", """")"),"E90E00120FA4A4A4A4A459190248AEB8")</f>
        <v>E90E00120FA4A4A4A4A459190248AEB8</v>
      </c>
    </row>
    <row r="170" hidden="1">
      <c r="A170" s="18" t="s">
        <v>299</v>
      </c>
      <c r="B170" s="22" t="str">
        <f>IFERROR(__xludf.DUMMYFUNCTION("LEFT(REGEXREPLACE($A170, ""(?i)^8301(E000|E100|E200|E300)?"", """"), 4)"),"E90E")</f>
        <v>E90E</v>
      </c>
      <c r="C170" s="24">
        <v>46220.0</v>
      </c>
      <c r="D170" s="14" t="s">
        <v>106</v>
      </c>
      <c r="E170" s="14" t="s">
        <v>175</v>
      </c>
      <c r="F170" s="27" t="str">
        <f>IFERROR(__xludf.DUMMYFUNCTION("REGEXREPLACE($A170, ""(?i)^8301(E000|E100|E200|E300)?"", """")"),"E90E00120FA9AEADAEAD59190248AEB7")</f>
        <v>E90E00120FA9AEADAEAD59190248AEB7</v>
      </c>
    </row>
    <row r="171">
      <c r="A171" s="18" t="s">
        <v>300</v>
      </c>
      <c r="B171" s="22" t="str">
        <f>IFERROR(__xludf.DUMMYFUNCTION("LEFT(REGEXREPLACE($A171, ""(?i)^8301(E000|E100|E200|E300)?"", """"), 4)"),"E90E")</f>
        <v>E90E</v>
      </c>
      <c r="C171" s="24">
        <v>46208.0</v>
      </c>
      <c r="D171" s="14" t="s">
        <v>75</v>
      </c>
      <c r="E171" s="14" t="s">
        <v>143</v>
      </c>
      <c r="F171" s="27" t="str">
        <f>IFERROR(__xludf.DUMMYFUNCTION("REGEXREPLACE($A171, ""(?i)^8301(E000|E100|E200|E300)?"", """")"),"E90E00120FB5B5B5B5B559190248AEB8")</f>
        <v>E90E00120FB5B5B5B5B559190248AEB8</v>
      </c>
    </row>
    <row r="172">
      <c r="A172" s="18" t="s">
        <v>301</v>
      </c>
      <c r="B172" s="22" t="str">
        <f>IFERROR(__xludf.DUMMYFUNCTION("LEFT(REGEXREPLACE($A172, ""(?i)^8301(E000|E100|E200|E300)?"", """"), 4)"),"E90E")</f>
        <v>E90E</v>
      </c>
      <c r="C172" s="24">
        <v>46208.0</v>
      </c>
      <c r="D172" s="14" t="s">
        <v>75</v>
      </c>
      <c r="E172" s="14" t="s">
        <v>143</v>
      </c>
      <c r="F172" s="27" t="str">
        <f>IFERROR(__xludf.DUMMYFUNCTION("REGEXREPLACE($A172, ""(?i)^8301(E000|E100|E200|E300)?"", """")"),"E90E00120FBBB5A4B5A4590A0148AEB0")</f>
        <v>E90E00120FBBB5A4B5A4590A0148AEB0</v>
      </c>
    </row>
    <row r="173">
      <c r="A173" s="18" t="s">
        <v>302</v>
      </c>
      <c r="B173" s="22" t="str">
        <f>IFERROR(__xludf.DUMMYFUNCTION("LEFT(REGEXREPLACE($A173, ""(?i)^8301(E000|E100|E200|E300)?"", """"), 4)"),"E90E")</f>
        <v>E90E</v>
      </c>
      <c r="C173" s="24">
        <v>46228.0</v>
      </c>
      <c r="D173" s="14" t="s">
        <v>75</v>
      </c>
      <c r="E173" s="14" t="s">
        <v>120</v>
      </c>
      <c r="F173" s="27" t="str">
        <f>IFERROR(__xludf.DUMMYFUNCTION("REGEXREPLACE($A173, ""(?i)^8301(E000|E100|E200|E300)?"", """")"),"E90E00120FBBBBBBBBBB59190248AEB0")</f>
        <v>E90E00120FBBBBBBBBBB59190248AEB0</v>
      </c>
    </row>
    <row r="174">
      <c r="A174" s="18" t="s">
        <v>303</v>
      </c>
      <c r="B174" s="22" t="str">
        <f>IFERROR(__xludf.DUMMYFUNCTION("LEFT(REGEXREPLACE($A174, ""(?i)^8301(E000|E100|E200|E300)?"", """"), 4)"),"E90E")</f>
        <v>E90E</v>
      </c>
      <c r="C174" s="24">
        <v>46208.0</v>
      </c>
      <c r="D174" s="14" t="s">
        <v>75</v>
      </c>
      <c r="E174" s="14" t="s">
        <v>143</v>
      </c>
      <c r="F174" s="27" t="str">
        <f>IFERROR(__xludf.DUMMYFUNCTION("REGEXREPLACE($A174, ""(?i)^8301(E000|E100|E200|E300)?"", """")"),"E90E00120FBBBBBBBBBB59190248AEB8")</f>
        <v>E90E00120FBBBBBBBBBB59190248AEB8</v>
      </c>
    </row>
    <row r="175" hidden="1">
      <c r="A175" s="18" t="s">
        <v>304</v>
      </c>
      <c r="B175" s="22" t="str">
        <f>IFERROR(__xludf.DUMMYFUNCTION("LEFT(REGEXREPLACE($A175, ""(?i)^8301(E000|E100|E200|E300)?"", """"), 4)"),"E90E")</f>
        <v>E90E</v>
      </c>
      <c r="C175" s="24">
        <v>46220.0</v>
      </c>
      <c r="D175" s="14" t="s">
        <v>106</v>
      </c>
      <c r="E175" s="14" t="s">
        <v>107</v>
      </c>
      <c r="F175" s="27" t="str">
        <f>IFERROR(__xludf.DUMMYFUNCTION("REGEXREPLACE($A175, ""(?i)^8301(E000|E100|E200|E300)?"", """")"),"E90E00120FBBBBBBBBBB59320248AEB8")</f>
        <v>E90E00120FBBBBBBBBBB59320248AEB8</v>
      </c>
    </row>
    <row r="176">
      <c r="A176" s="18" t="s">
        <v>305</v>
      </c>
      <c r="B176" s="22" t="str">
        <f>IFERROR(__xludf.DUMMYFUNCTION("LEFT(REGEXREPLACE($A176, ""(?i)^8301(E000|E100|E200|E300)?"", """"), 4)"),"E90E")</f>
        <v>E90E</v>
      </c>
      <c r="C176" s="24">
        <v>46228.0</v>
      </c>
      <c r="D176" s="14" t="s">
        <v>75</v>
      </c>
      <c r="E176" s="14" t="s">
        <v>120</v>
      </c>
      <c r="F176" s="27" t="str">
        <f>IFERROR(__xludf.DUMMYFUNCTION("REGEXREPLACE($A176, ""(?i)^8301(E000|E100|E200|E300)?"", """")"),"E90E00130FB4B5B5B1B3590FFB48AEB0")</f>
        <v>E90E00130FB4B5B5B1B3590FFB48AEB0</v>
      </c>
    </row>
    <row r="177" hidden="1">
      <c r="A177" s="18" t="s">
        <v>307</v>
      </c>
      <c r="B177" s="22" t="str">
        <f>IFERROR(__xludf.DUMMYFUNCTION("LEFT(REGEXREPLACE($A177, ""(?i)^8301(E000|E100|E200|E300)?"", """"), 4)"),"E90E")</f>
        <v>E90E</v>
      </c>
      <c r="C177" s="24">
        <v>46220.0</v>
      </c>
      <c r="D177" s="14" t="s">
        <v>106</v>
      </c>
      <c r="E177" s="14" t="s">
        <v>107</v>
      </c>
      <c r="F177" s="27" t="str">
        <f>IFERROR(__xludf.DUMMYFUNCTION("REGEXREPLACE($A177, ""(?i)^8301(E000|E100|E200|E300)?"", """")"),"E90E00130FBBBBBBBBBB59320248AEB8")</f>
        <v>E90E00130FBBBBBBBBBB59320248AEB8</v>
      </c>
    </row>
    <row r="178">
      <c r="A178" s="18" t="s">
        <v>308</v>
      </c>
      <c r="B178" s="22" t="str">
        <f>IFERROR(__xludf.DUMMYFUNCTION("LEFT(REGEXREPLACE($A178, ""(?i)^8301(E000|E100|E200|E300)?"", """"), 4)"),"E90E")</f>
        <v>E90E</v>
      </c>
      <c r="C178" s="24">
        <v>46219.0</v>
      </c>
      <c r="D178" s="14" t="s">
        <v>75</v>
      </c>
      <c r="E178" s="14" t="s">
        <v>120</v>
      </c>
      <c r="F178" s="27" t="str">
        <f>IFERROR(__xludf.DUMMYFUNCTION("REGEXREPLACE($A178, ""(?i)^8301(E000|E100|E200|E300)?"", """")"),"E90E00160FB1B1B1B1B159190248AEB0")</f>
        <v>E90E00160FB1B1B1B1B159190248AEB0</v>
      </c>
    </row>
    <row r="179">
      <c r="A179" s="18" t="s">
        <v>309</v>
      </c>
      <c r="B179" s="22" t="str">
        <f>IFERROR(__xludf.DUMMYFUNCTION("LEFT(REGEXREPLACE($A179, ""(?i)^8301(E000|E100|E200|E300)?"", """"), 4)"),"E90E")</f>
        <v>E90E</v>
      </c>
      <c r="C179" s="24">
        <v>46219.0</v>
      </c>
      <c r="D179" s="14" t="s">
        <v>75</v>
      </c>
      <c r="E179" s="14" t="s">
        <v>120</v>
      </c>
      <c r="F179" s="27" t="str">
        <f>IFERROR(__xludf.DUMMYFUNCTION("REGEXREPLACE($A179, ""(?i)^8301(E000|E100|E200|E300)?"", """")"),"E90E001FD255000000D25800000078B0")</f>
        <v>E90E001FD255000000D25800000078B0</v>
      </c>
    </row>
    <row r="180">
      <c r="A180" s="18" t="s">
        <v>311</v>
      </c>
      <c r="B180" s="22" t="str">
        <f>IFERROR(__xludf.DUMMYFUNCTION("LEFT(REGEXREPLACE($A180, ""(?i)^8301(E000|E100|E200|E300)?"", """"), 4)"),"E90E")</f>
        <v>E90E</v>
      </c>
      <c r="C180" s="24">
        <v>46219.0</v>
      </c>
      <c r="D180" s="14" t="s">
        <v>75</v>
      </c>
      <c r="E180" s="14" t="s">
        <v>120</v>
      </c>
      <c r="F180" s="27" t="str">
        <f>IFERROR(__xludf.DUMMYFUNCTION("REGEXREPLACE($A180, ""(?i)^8301(E000|E100|E200|E300)?"", """")"),"E90E0021D255000000D25800000078B0")</f>
        <v>E90E0021D255000000D25800000078B0</v>
      </c>
    </row>
    <row r="181">
      <c r="A181" s="18" t="s">
        <v>312</v>
      </c>
      <c r="B181" s="22" t="str">
        <f>IFERROR(__xludf.DUMMYFUNCTION("LEFT(REGEXREPLACE($A181, ""(?i)^8301(E000|E100|E200|E300)?"", """"), 4)"),"E90E")</f>
        <v>E90E</v>
      </c>
      <c r="C181" s="24">
        <v>46219.0</v>
      </c>
      <c r="D181" s="14" t="s">
        <v>75</v>
      </c>
      <c r="E181" s="14" t="s">
        <v>120</v>
      </c>
      <c r="F181" s="27" t="str">
        <f>IFERROR(__xludf.DUMMYFUNCTION("REGEXREPLACE($A181, ""(?i)^8301(E000|E100|E200|E300)?"", """")"),"E90E0023D255000000D25800000078B0")</f>
        <v>E90E0023D255000000D25800000078B0</v>
      </c>
    </row>
    <row r="182" hidden="1">
      <c r="A182" s="18" t="s">
        <v>313</v>
      </c>
      <c r="B182" s="22" t="str">
        <f>IFERROR(__xludf.DUMMYFUNCTION("LEFT(REGEXREPLACE($A182, ""(?i)^8301(E000|E100|E200|E300)?"", """"), 4)"),"E90E")</f>
        <v>E90E</v>
      </c>
      <c r="C182" s="24">
        <v>46220.0</v>
      </c>
      <c r="D182" s="14" t="s">
        <v>106</v>
      </c>
      <c r="E182" s="14" t="s">
        <v>107</v>
      </c>
      <c r="F182" s="27" t="str">
        <f>IFERROR(__xludf.DUMMYFUNCTION("REGEXREPLACE($A182, ""(?i)^8301(E000|E100|E200|E300)?"", """")"),"E90E00240FBBBBBBBBBB59320248AEB8")</f>
        <v>E90E00240FBBBBBBBBBB59320248AEB8</v>
      </c>
    </row>
    <row r="183">
      <c r="A183" s="18" t="s">
        <v>314</v>
      </c>
      <c r="B183" s="22" t="str">
        <f>IFERROR(__xludf.DUMMYFUNCTION("LEFT(REGEXREPLACE($A183, ""(?i)^8301(E000|E100|E200|E300)?"", """"), 4)"),"E90E")</f>
        <v>E90E</v>
      </c>
      <c r="C183" s="24">
        <v>46228.0</v>
      </c>
      <c r="D183" s="14" t="s">
        <v>75</v>
      </c>
      <c r="E183" s="14" t="s">
        <v>120</v>
      </c>
      <c r="F183" s="27" t="str">
        <f>IFERROR(__xludf.DUMMYFUNCTION("REGEXREPLACE($A183, ""(?i)^8301(E000|E100|E200|E300)?"", """")"),"E90E0024D255000000D25800000078B0")</f>
        <v>E90E0024D255000000D25800000078B0</v>
      </c>
    </row>
    <row r="184">
      <c r="A184" s="29" t="s">
        <v>315</v>
      </c>
      <c r="B184" s="22" t="str">
        <f>IFERROR(__xludf.DUMMYFUNCTION("LEFT(REGEXREPLACE($A184, ""(?i)^8301(E000|E100|E200|E300)?"", """"), 4)"),"E90E")</f>
        <v>E90E</v>
      </c>
      <c r="C184" s="24">
        <v>46207.0</v>
      </c>
      <c r="D184" s="14" t="s">
        <v>129</v>
      </c>
      <c r="E184" s="14" t="s">
        <v>137</v>
      </c>
      <c r="F184" s="27" t="str">
        <f>IFERROR(__xludf.DUMMYFUNCTION("REGEXREPLACE($A184, ""(?i)^8301(E000|E100|E200|E300)?"", """")"),"E90E00250FB8A3A9A3A959190248AEB0")</f>
        <v>E90E00250FB8A3A9A3A959190248AEB0</v>
      </c>
    </row>
    <row r="185" hidden="1">
      <c r="A185" s="18" t="s">
        <v>316</v>
      </c>
      <c r="B185" s="22" t="str">
        <f>IFERROR(__xludf.DUMMYFUNCTION("LEFT(REGEXREPLACE($A185, ""(?i)^8301(E000|E100|E200|E300)?"", """"), 4)"),"E90E")</f>
        <v>E90E</v>
      </c>
      <c r="C185" s="24">
        <v>46220.0</v>
      </c>
      <c r="D185" s="14" t="s">
        <v>106</v>
      </c>
      <c r="E185" s="14" t="s">
        <v>175</v>
      </c>
      <c r="F185" s="27" t="str">
        <f>IFERROR(__xludf.DUMMYFUNCTION("REGEXREPLACE($A185, ""(?i)^8301(E000|E100|E200|E300)?"", """")"),"E90E004C0FA0A0B6A0B659190248AEB8")</f>
        <v>E90E004C0FA0A0B6A0B659190248AEB8</v>
      </c>
    </row>
    <row r="186">
      <c r="A186" s="29" t="s">
        <v>317</v>
      </c>
      <c r="B186" s="22" t="str">
        <f>IFERROR(__xludf.DUMMYFUNCTION("LEFT(REGEXREPLACE($A186, ""(?i)^8301(E000|E100|E200|E300)?"", """"), 4)"),"E90E")</f>
        <v>E90E</v>
      </c>
      <c r="C186" s="30">
        <v>46235.0</v>
      </c>
      <c r="D186" s="31" t="s">
        <v>75</v>
      </c>
      <c r="E186" s="31" t="s">
        <v>76</v>
      </c>
      <c r="F186" s="27" t="str">
        <f>IFERROR(__xludf.DUMMYFUNCTION("REGEXREPLACE($A186, ""(?i)^8301(E000|E100|E200|E300)?"", """")"),"E90E005F0FA2A2A2A1A259190248AEB0")</f>
        <v>E90E005F0FA2A2A2A1A259190248AEB0</v>
      </c>
    </row>
    <row r="187">
      <c r="A187" s="18" t="s">
        <v>318</v>
      </c>
      <c r="B187" s="22" t="str">
        <f>IFERROR(__xludf.DUMMYFUNCTION("LEFT(REGEXREPLACE($A187, ""(?i)^8301(E000|E100|E200|E300)?"", """"), 4)"),"E90E")</f>
        <v>E90E</v>
      </c>
      <c r="C187" s="24">
        <v>46208.0</v>
      </c>
      <c r="D187" s="14" t="s">
        <v>75</v>
      </c>
      <c r="E187" s="14" t="s">
        <v>76</v>
      </c>
      <c r="F187" s="27" t="str">
        <f>IFERROR(__xludf.DUMMYFUNCTION("REGEXREPLACE($A187, ""(?i)^8301(E000|E100|E200|E300)?"", """")"),"E90E005F0FBBBBBBBBBB59190248AEB0")</f>
        <v>E90E005F0FBBBBBBBBBB59190248AEB0</v>
      </c>
    </row>
    <row r="188">
      <c r="A188" s="18" t="s">
        <v>319</v>
      </c>
      <c r="B188" s="22" t="str">
        <f>IFERROR(__xludf.DUMMYFUNCTION("LEFT(REGEXREPLACE($A188, ""(?i)^8301(E000|E100|E200|E300)?"", """"), 4)"),"E90E")</f>
        <v>E90E</v>
      </c>
      <c r="C188" s="24">
        <v>46219.0</v>
      </c>
      <c r="D188" s="14" t="s">
        <v>75</v>
      </c>
      <c r="E188" s="14" t="s">
        <v>120</v>
      </c>
      <c r="F188" s="27" t="str">
        <f>IFERROR(__xludf.DUMMYFUNCTION("REGEXREPLACE($A188, ""(?i)^8301(E000|E100|E200|E300)?"", """")"),"E90E007BD255000000D25800000078B0")</f>
        <v>E90E007BD255000000D25800000078B0</v>
      </c>
    </row>
    <row r="189">
      <c r="A189" s="18" t="s">
        <v>320</v>
      </c>
      <c r="B189" s="22" t="str">
        <f>IFERROR(__xludf.DUMMYFUNCTION("LEFT(REGEXREPLACE($A189, ""(?i)^8301(E000|E100|E200|E300)?"", """"), 4)"),"E90E")</f>
        <v>E90E</v>
      </c>
      <c r="C189" s="24">
        <v>46228.0</v>
      </c>
      <c r="D189" s="14" t="s">
        <v>75</v>
      </c>
      <c r="E189" s="14" t="s">
        <v>120</v>
      </c>
      <c r="F189" s="27" t="str">
        <f>IFERROR(__xludf.DUMMYFUNCTION("REGEXREPLACE($A189, ""(?i)^8301(E000|E100|E200|E300)?"", """")"),"E90E00A7D255000000D25800000078B0")</f>
        <v>E90E00A7D255000000D25800000078B0</v>
      </c>
    </row>
    <row r="190">
      <c r="A190" s="29" t="s">
        <v>321</v>
      </c>
      <c r="B190" s="22" t="str">
        <f>IFERROR(__xludf.DUMMYFUNCTION("LEFT(REGEXREPLACE($A190, ""(?i)^8301(E000|E100|E200|E300)?"", """"), 4)"),"E90E")</f>
        <v>E90E</v>
      </c>
      <c r="C190" s="24">
        <v>46240.0</v>
      </c>
      <c r="D190" s="14" t="s">
        <v>129</v>
      </c>
      <c r="E190" s="70" t="s">
        <v>137</v>
      </c>
      <c r="F190" s="27" t="str">
        <f>IFERROR(__xludf.DUMMYFUNCTION("REGEXREPLACE($A190, ""(?i)^8301(E000|E100|E200|E300)?"", """")"),"E90E00040FBBBBBBBBBB59190248AEB8")</f>
        <v>E90E00040FBBBBBBBBBB59190248AEB8</v>
      </c>
    </row>
    <row r="191">
      <c r="A191" s="29" t="s">
        <v>322</v>
      </c>
      <c r="B191" s="22" t="str">
        <f>IFERROR(__xludf.DUMMYFUNCTION("LEFT(REGEXREPLACE($A191, ""(?i)^8301(E000|E100|E200|E300)?"", """"), 4)"),"E90E")</f>
        <v>E90E</v>
      </c>
      <c r="C191" s="24">
        <v>46240.0</v>
      </c>
      <c r="D191" s="14" t="s">
        <v>129</v>
      </c>
      <c r="E191" s="70" t="s">
        <v>137</v>
      </c>
      <c r="F191" s="27" t="str">
        <f>IFERROR(__xludf.DUMMYFUNCTION("REGEXREPLACE($A191, ""(?i)^8301(E000|E100|E200|E300)?"", """")"),"E90E00070FBBBBBBBBBB59190248AEB0")</f>
        <v>E90E00070FBBBBBBBBBB59190248AEB0</v>
      </c>
    </row>
    <row r="192">
      <c r="A192" s="29" t="s">
        <v>324</v>
      </c>
      <c r="B192" s="22" t="str">
        <f>IFERROR(__xludf.DUMMYFUNCTION("LEFT(REGEXREPLACE($A192, ""(?i)^8301(E000|E100|E200|E300)?"", """"), 4)"),"E90E")</f>
        <v>E90E</v>
      </c>
      <c r="C192" s="30">
        <v>46235.0</v>
      </c>
      <c r="D192" s="31" t="s">
        <v>75</v>
      </c>
      <c r="E192" s="31" t="s">
        <v>76</v>
      </c>
      <c r="F192" s="27" t="str">
        <f>IFERROR(__xludf.DUMMYFUNCTION("REGEXREPLACE($A192, ""(?i)^8301(E000|E100|E200|E300)?"", """")"),"E90E005F0FBBBBBBBBBB59190248AEB0")</f>
        <v>E90E005F0FBBBBBBBBBB59190248AEB0</v>
      </c>
    </row>
    <row r="193" hidden="1">
      <c r="A193" s="18" t="s">
        <v>325</v>
      </c>
      <c r="B193" s="22" t="str">
        <f>IFERROR(__xludf.DUMMYFUNCTION("LEFT(REGEXREPLACE($A193, ""(?i)^8301(E000|E100|E200|E300)?"", """"), 4)"),"E90F")</f>
        <v>E90F</v>
      </c>
      <c r="C193" s="24">
        <v>46220.0</v>
      </c>
      <c r="D193" s="14" t="s">
        <v>106</v>
      </c>
      <c r="E193" s="14" t="s">
        <v>175</v>
      </c>
      <c r="F193" s="27" t="str">
        <f>IFERROR(__xludf.DUMMYFUNCTION("REGEXREPLACE($A193, ""(?i)^8301(E000|E100|E200|E300)?"", """")"),"E90F00010F5D5B5803488DD246020300B0")</f>
        <v>E90F00010F5D5B5803488DD246020300B0</v>
      </c>
    </row>
    <row r="194">
      <c r="A194" s="18" t="s">
        <v>327</v>
      </c>
      <c r="B194" s="22" t="str">
        <f>IFERROR(__xludf.DUMMYFUNCTION("LEFT(REGEXREPLACE($A194, ""(?i)^8301(E000|E100|E200|E300)?"", """"), 4)"),"E90F")</f>
        <v>E90F</v>
      </c>
      <c r="C194" s="24">
        <v>46219.0</v>
      </c>
      <c r="D194" s="14" t="s">
        <v>75</v>
      </c>
      <c r="E194" s="14" t="s">
        <v>120</v>
      </c>
      <c r="F194" s="27" t="str">
        <f>IFERROR(__xludf.DUMMYFUNCTION("REGEXREPLACE($A194, ""(?i)^8301(E000|E100|E200|E300)?"", """")"),"E90F000F0EEF7AEC5C022814281448ABB0")</f>
        <v>E90F000F0EEF7AEC5C022814281448ABB0</v>
      </c>
    </row>
    <row r="195">
      <c r="A195" s="18" t="s">
        <v>328</v>
      </c>
      <c r="B195" s="22" t="str">
        <f>IFERROR(__xludf.DUMMYFUNCTION("LEFT(REGEXREPLACE($A195, ""(?i)^8301(E000|E100|E200|E300)?"", """"), 4)"),"E90F")</f>
        <v>E90F</v>
      </c>
      <c r="C195" s="24">
        <v>46219.0</v>
      </c>
      <c r="D195" s="14" t="s">
        <v>75</v>
      </c>
      <c r="E195" s="14" t="s">
        <v>120</v>
      </c>
      <c r="F195" s="27" t="str">
        <f>IFERROR(__xludf.DUMMYFUNCTION("REGEXREPLACE($A195, ""(?i)^8301(E000|E100|E200|E300)?"", """")"),"E90F00110EF17AEC5C012814281448ABB0")</f>
        <v>E90F00110EF17AEC5C012814281448ABB0</v>
      </c>
    </row>
    <row r="196" hidden="1">
      <c r="A196" s="18" t="s">
        <v>329</v>
      </c>
      <c r="B196" s="22" t="str">
        <f>IFERROR(__xludf.DUMMYFUNCTION("LEFT(REGEXREPLACE($A196, ""(?i)^8301(E000|E100|E200|E300)?"", """"), 4)"),"E90F")</f>
        <v>E90F</v>
      </c>
      <c r="C196" s="24">
        <v>46220.0</v>
      </c>
      <c r="D196" s="14" t="s">
        <v>106</v>
      </c>
      <c r="E196" s="14" t="s">
        <v>107</v>
      </c>
      <c r="F196" s="27" t="str">
        <f>IFERROR(__xludf.DUMMYFUNCTION("REGEXREPLACE($A196, ""(?i)^8301(E000|E100|E200|E300)?"", """")"),"E90F004F4897D00E80D146091E30D04E00")</f>
        <v>E90F004F4897D00E80D146091E30D04E00</v>
      </c>
    </row>
    <row r="197">
      <c r="A197" s="18" t="s">
        <v>330</v>
      </c>
      <c r="B197" s="22" t="str">
        <f>IFERROR(__xludf.DUMMYFUNCTION("LEFT(REGEXREPLACE($A197, ""(?i)^8301(E000|E100|E200|E300)?"", """"), 4)"),"E90F")</f>
        <v>E90F</v>
      </c>
      <c r="C197" s="24">
        <v>46219.0</v>
      </c>
      <c r="D197" s="14" t="s">
        <v>75</v>
      </c>
      <c r="E197" s="14" t="s">
        <v>120</v>
      </c>
      <c r="F197" s="27" t="str">
        <f>IFERROR(__xludf.DUMMYFUNCTION("REGEXREPLACE($A197, ""(?i)^8301(E000|E100|E200|E300)?"", """")"),"E90F00520EF17AEC5C022814281448ABB0")</f>
        <v>E90F00520EF17AEC5C022814281448ABB0</v>
      </c>
    </row>
    <row r="198" hidden="1">
      <c r="A198" s="18" t="s">
        <v>331</v>
      </c>
      <c r="B198" s="22" t="str">
        <f>IFERROR(__xludf.DUMMYFUNCTION("LEFT(REGEXREPLACE($A198, ""(?i)^8301(E000|E100|E200|E300)?"", """"), 4)"),"E90F")</f>
        <v>E90F</v>
      </c>
      <c r="C198" s="24">
        <v>46220.0</v>
      </c>
      <c r="D198" s="14" t="s">
        <v>106</v>
      </c>
      <c r="E198" s="14" t="s">
        <v>107</v>
      </c>
      <c r="F198" s="27" t="str">
        <f>IFERROR(__xludf.DUMMYFUNCTION("REGEXREPLACE($A198, ""(?i)^8301(E000|E100|E200|E300)?"", """")"),"E90F00CF0F524D488FD1412AC8D1460701")</f>
        <v>E90F00CF0F524D488FD1412AC8D1460701</v>
      </c>
    </row>
    <row r="199">
      <c r="A199" s="29" t="s">
        <v>332</v>
      </c>
      <c r="B199" s="22" t="str">
        <f>IFERROR(__xludf.DUMMYFUNCTION("LEFT(REGEXREPLACE($A199, ""(?i)^8301(E000|E100|E200|E300)?"", """"), 4)"),"E90F")</f>
        <v>E90F</v>
      </c>
      <c r="C199" s="30">
        <v>46235.0</v>
      </c>
      <c r="D199" s="31" t="s">
        <v>75</v>
      </c>
      <c r="E199" s="31" t="s">
        <v>76</v>
      </c>
      <c r="F199" s="27" t="str">
        <f>IFERROR(__xludf.DUMMYFUNCTION("REGEXREPLACE($A199, ""(?i)^8301(E000|E100|E200|E300)?"", """")"),"E90F00240EEF7AEC5C012814281448ABB0")</f>
        <v>E90F00240EEF7AEC5C012814281448ABB0</v>
      </c>
    </row>
    <row r="200">
      <c r="A200" s="29" t="s">
        <v>333</v>
      </c>
      <c r="B200" s="22" t="str">
        <f>IFERROR(__xludf.DUMMYFUNCTION("LEFT(REGEXREPLACE($A200, ""(?i)^8301(E000|E100|E200|E300)?"", """"), 4)"),"E910")</f>
        <v>E910</v>
      </c>
      <c r="C200" s="24">
        <v>46207.0</v>
      </c>
      <c r="D200" s="14" t="s">
        <v>129</v>
      </c>
      <c r="E200" s="14" t="s">
        <v>137</v>
      </c>
      <c r="F200" s="27" t="str">
        <f>IFERROR(__xludf.DUMMYFUNCTION("REGEXREPLACE($A200, ""(?i)^8301(E000|E100|E200|E300)?"", """")"),"E91000010F5C55F4A0D037F2D241C60500B9")</f>
        <v>E91000010F5C55F4A0D037F2D241C60500B9</v>
      </c>
    </row>
    <row r="201" hidden="1">
      <c r="A201" s="18" t="s">
        <v>334</v>
      </c>
      <c r="B201" s="22" t="str">
        <f>IFERROR(__xludf.DUMMYFUNCTION("LEFT(REGEXREPLACE($A201, ""(?i)^8301(E000|E100|E200|E300)?"", """"), 4)"),"E910")</f>
        <v>E910</v>
      </c>
      <c r="C201" s="24">
        <v>46220.0</v>
      </c>
      <c r="D201" s="14" t="s">
        <v>106</v>
      </c>
      <c r="E201" s="14" t="s">
        <v>107</v>
      </c>
      <c r="F201" s="27" t="str">
        <f>IFERROR(__xludf.DUMMYFUNCTION("REGEXREPLACE($A201, ""(?i)^8301(E000|E100|E200|E300)?"", """")"),"E910000F0F515558F44882D1460214D06505")</f>
        <v>E910000F0F515558F44882D1460214D06505</v>
      </c>
    </row>
    <row r="202" hidden="1">
      <c r="A202" s="18" t="s">
        <v>335</v>
      </c>
      <c r="B202" s="22" t="str">
        <f>IFERROR(__xludf.DUMMYFUNCTION("LEFT(REGEXREPLACE($A202, ""(?i)^8301(E000|E100|E200|E300)?"", """"), 4)"),"E910")</f>
        <v>E910</v>
      </c>
      <c r="C202" s="24">
        <v>46220.0</v>
      </c>
      <c r="D202" s="14" t="s">
        <v>106</v>
      </c>
      <c r="E202" s="14" t="s">
        <v>107</v>
      </c>
      <c r="F202" s="27" t="str">
        <f>IFERROR(__xludf.DUMMYFUNCTION("REGEXREPLACE($A202, ""(?i)^8301(E000|E100|E200|E300)?"", """")"),"E910000F0F515558F44882D146023ED06505")</f>
        <v>E910000F0F515558F44882D146023ED06505</v>
      </c>
    </row>
    <row r="203" hidden="1">
      <c r="A203" s="18" t="s">
        <v>336</v>
      </c>
      <c r="B203" s="22" t="str">
        <f>IFERROR(__xludf.DUMMYFUNCTION("LEFT(REGEXREPLACE($A203, ""(?i)^8301(E000|E100|E200|E300)?"", """"), 4)"),"E910")</f>
        <v>E910</v>
      </c>
      <c r="C203" s="24">
        <v>46220.0</v>
      </c>
      <c r="D203" s="14" t="s">
        <v>106</v>
      </c>
      <c r="E203" s="14" t="s">
        <v>107</v>
      </c>
      <c r="F203" s="27" t="str">
        <f>IFERROR(__xludf.DUMMYFUNCTION("REGEXREPLACE($A203, ""(?i)^8301(E000|E100|E200|E300)?"", """")"),"E910000F0F535158F44882D1460214D06505")</f>
        <v>E910000F0F535158F44882D1460214D06505</v>
      </c>
    </row>
    <row r="204" hidden="1">
      <c r="A204" s="18" t="s">
        <v>337</v>
      </c>
      <c r="B204" s="22" t="str">
        <f>IFERROR(__xludf.DUMMYFUNCTION("LEFT(REGEXREPLACE($A204, ""(?i)^8301(E000|E100|E200|E300)?"", """"), 4)"),"E910")</f>
        <v>E910</v>
      </c>
      <c r="C204" s="24">
        <v>46220.0</v>
      </c>
      <c r="D204" s="14" t="s">
        <v>106</v>
      </c>
      <c r="E204" s="14" t="s">
        <v>107</v>
      </c>
      <c r="F204" s="27" t="str">
        <f>IFERROR(__xludf.DUMMYFUNCTION("REGEXREPLACE($A204, ""(?i)^8301(E000|E100|E200|E300)?"", """")"),"E910000F0F535158F44882D146023ED06505")</f>
        <v>E910000F0F535158F44882D146023ED06505</v>
      </c>
    </row>
    <row r="205" hidden="1">
      <c r="A205" s="18" t="s">
        <v>338</v>
      </c>
      <c r="B205" s="22" t="str">
        <f>IFERROR(__xludf.DUMMYFUNCTION("LEFT(REGEXREPLACE($A205, ""(?i)^8301(E000|E100|E200|E300)?"", """"), 4)"),"E910")</f>
        <v>E910</v>
      </c>
      <c r="C205" s="24">
        <v>46220.0</v>
      </c>
      <c r="D205" s="14" t="s">
        <v>106</v>
      </c>
      <c r="E205" s="14" t="s">
        <v>107</v>
      </c>
      <c r="F205" s="27" t="str">
        <f>IFERROR(__xludf.DUMMYFUNCTION("REGEXREPLACE($A205, ""(?i)^8301(E000|E100|E200|E300)?"", """")"),"E910000F0F535558F44882D1460214D06505")</f>
        <v>E910000F0F535558F44882D1460214D06505</v>
      </c>
    </row>
    <row r="206" hidden="1">
      <c r="A206" s="18" t="s">
        <v>339</v>
      </c>
      <c r="B206" s="22" t="str">
        <f>IFERROR(__xludf.DUMMYFUNCTION("LEFT(REGEXREPLACE($A206, ""(?i)^8301(E000|E100|E200|E300)?"", """"), 4)"),"E910")</f>
        <v>E910</v>
      </c>
      <c r="C206" s="24">
        <v>46220.0</v>
      </c>
      <c r="D206" s="14" t="s">
        <v>106</v>
      </c>
      <c r="E206" s="14" t="s">
        <v>107</v>
      </c>
      <c r="F206" s="27" t="str">
        <f>IFERROR(__xludf.DUMMYFUNCTION("REGEXREPLACE($A206, ""(?i)^8301(E000|E100|E200|E300)?"", """")"),"E910000F0F535558F44882D146023ED06505")</f>
        <v>E910000F0F535558F44882D146023ED06505</v>
      </c>
    </row>
    <row r="207">
      <c r="A207" s="29" t="s">
        <v>340</v>
      </c>
      <c r="B207" s="22" t="str">
        <f>IFERROR(__xludf.DUMMYFUNCTION("LEFT(REGEXREPLACE($A207, ""(?i)^8301(E000|E100|E200|E300)?"", """"), 4)"),"E910")</f>
        <v>E910</v>
      </c>
      <c r="C207" s="24">
        <v>46207.0</v>
      </c>
      <c r="D207" s="14" t="s">
        <v>129</v>
      </c>
      <c r="E207" s="14" t="s">
        <v>137</v>
      </c>
      <c r="F207" s="27" t="str">
        <f>IFERROR(__xludf.DUMMYFUNCTION("REGEXREPLACE($A207, ""(?i)^8301(E000|E100|E200|E300)?"", """")"),"E91000120F4F4FD037F2D2412A06190100B9")</f>
        <v>E91000120F4F4FD037F2D2412A06190100B9</v>
      </c>
    </row>
    <row r="208">
      <c r="A208" s="29" t="s">
        <v>343</v>
      </c>
      <c r="B208" s="22" t="str">
        <f>IFERROR(__xludf.DUMMYFUNCTION("LEFT(REGEXREPLACE($A208, ""(?i)^8301(E000|E100|E200|E300)?"", """"), 4)"),"E910")</f>
        <v>E910</v>
      </c>
      <c r="C208" s="24">
        <v>46207.0</v>
      </c>
      <c r="D208" s="14" t="s">
        <v>129</v>
      </c>
      <c r="E208" s="14" t="s">
        <v>137</v>
      </c>
      <c r="F208" s="27" t="str">
        <f>IFERROR(__xludf.DUMMYFUNCTION("REGEXREPLACE($A208, ""(?i)^8301(E000|E100|E200|E300)?"", """")"),"E91000140F4F4FD037F2D2412A06190100B9")</f>
        <v>E91000140F4F4FD037F2D2412A06190100B9</v>
      </c>
    </row>
    <row r="209" hidden="1">
      <c r="A209" s="18" t="s">
        <v>344</v>
      </c>
      <c r="B209" s="22" t="str">
        <f>IFERROR(__xludf.DUMMYFUNCTION("LEFT(REGEXREPLACE($A209, ""(?i)^8301(E000|E100|E200|E300)?"", """"), 4)"),"E910")</f>
        <v>E910</v>
      </c>
      <c r="C209" s="24">
        <v>46220.0</v>
      </c>
      <c r="D209" s="14" t="s">
        <v>106</v>
      </c>
      <c r="E209" s="14" t="s">
        <v>107</v>
      </c>
      <c r="F209" s="27" t="str">
        <f>IFERROR(__xludf.DUMMYFUNCTION("REGEXREPLACE($A209, ""(?i)^8301(E000|E100|E200|E300)?"", """")"),"E910002A0F5D4058F44882D1460601D06543")</f>
        <v>E910002A0F5D4058F44882D1460601D06543</v>
      </c>
    </row>
    <row r="210" hidden="1">
      <c r="A210" s="18" t="s">
        <v>345</v>
      </c>
      <c r="B210" s="22" t="str">
        <f>IFERROR(__xludf.DUMMYFUNCTION("LEFT(REGEXREPLACE($A210, ""(?i)^8301(E000|E100|E200|E300)?"", """"), 4)"),"E910")</f>
        <v>E910</v>
      </c>
      <c r="C210" s="24">
        <v>46220.0</v>
      </c>
      <c r="D210" s="14" t="s">
        <v>106</v>
      </c>
      <c r="E210" s="14" t="s">
        <v>107</v>
      </c>
      <c r="F210" s="27" t="str">
        <f>IFERROR(__xludf.DUMMYFUNCTION("REGEXREPLACE($A210, ""(?i)^8301(E000|E100|E200|E300)?"", """")"),"E910002A0F5D4058F44882D1460602D06543")</f>
        <v>E910002A0F5D4058F44882D1460602D06543</v>
      </c>
    </row>
    <row r="211" hidden="1">
      <c r="A211" s="18" t="s">
        <v>347</v>
      </c>
      <c r="B211" s="22" t="str">
        <f>IFERROR(__xludf.DUMMYFUNCTION("LEFT(REGEXREPLACE($A211, ""(?i)^8301(E000|E100|E200|E300)?"", """"), 4)"),"E910")</f>
        <v>E910</v>
      </c>
      <c r="C211" s="24">
        <v>46220.0</v>
      </c>
      <c r="D211" s="14" t="s">
        <v>106</v>
      </c>
      <c r="E211" s="14" t="s">
        <v>107</v>
      </c>
      <c r="F211" s="27" t="str">
        <f>IFERROR(__xludf.DUMMYFUNCTION("REGEXREPLACE($A211, ""(?i)^8301(E000|E100|E200|E300)?"", """")"),"E910002A0F5D4058F44882D1460604D06543")</f>
        <v>E910002A0F5D4058F44882D1460604D06543</v>
      </c>
    </row>
    <row r="212">
      <c r="A212" s="29" t="s">
        <v>348</v>
      </c>
      <c r="B212" s="22" t="str">
        <f>IFERROR(__xludf.DUMMYFUNCTION("LEFT(REGEXREPLACE($A212, ""(?i)^8301(E000|E100|E200|E300)?"", """"), 4)"),"E910")</f>
        <v>E910</v>
      </c>
      <c r="C212" s="24">
        <v>46207.0</v>
      </c>
      <c r="D212" s="14" t="s">
        <v>129</v>
      </c>
      <c r="E212" s="14" t="s">
        <v>137</v>
      </c>
      <c r="F212" s="27" t="str">
        <f>IFERROR(__xludf.DUMMYFUNCTION("REGEXREPLACE($A212, ""(?i)^8301(E000|E100|E200|E300)?"", """")"),"E91000434896D00E97D146063730D04E25B0")</f>
        <v>E91000434896D00E97D146063730D04E25B0</v>
      </c>
    </row>
    <row r="213">
      <c r="A213" s="18" t="s">
        <v>349</v>
      </c>
      <c r="B213" s="22" t="str">
        <f>IFERROR(__xludf.DUMMYFUNCTION("LEFT(REGEXREPLACE($A213, ""(?i)^8301(E000|E100|E200|E300)?"", """"), 4)"),"E910")</f>
        <v>E910</v>
      </c>
      <c r="C213" s="24">
        <v>46208.0</v>
      </c>
      <c r="D213" s="14" t="s">
        <v>75</v>
      </c>
      <c r="E213" s="14" t="s">
        <v>143</v>
      </c>
      <c r="F213" s="27" t="str">
        <f>IFERROR(__xludf.DUMMYFUNCTION("REGEXREPLACE($A213, ""(?i)^8301(E000|E100|E200|E300)?"", """")"),"E910004C4897D00E80D146052030D04E00B0")</f>
        <v>E910004C4897D00E80D146052030D04E00B0</v>
      </c>
    </row>
    <row r="214" hidden="1">
      <c r="A214" s="18" t="s">
        <v>252</v>
      </c>
      <c r="B214" s="22" t="str">
        <f>IFERROR(__xludf.DUMMYFUNCTION("LEFT(REGEXREPLACE($A214, ""(?i)^8301(E000|E100|E200|E300)?"", """"), 4)"),"E910")</f>
        <v>E910</v>
      </c>
      <c r="C214" s="24">
        <v>46220.0</v>
      </c>
      <c r="D214" s="14" t="s">
        <v>106</v>
      </c>
      <c r="E214" s="14" t="s">
        <v>107</v>
      </c>
      <c r="F214" s="27" t="str">
        <f>IFERROR(__xludf.DUMMYFUNCTION("REGEXREPLACE($A214, ""(?i)^8301(E000|E100|E200|E300)?"", """")"),"E91000610F475658F44882D1460908D06519")</f>
        <v>E91000610F475658F44882D1460908D06519</v>
      </c>
    </row>
    <row r="215">
      <c r="A215" s="29" t="s">
        <v>350</v>
      </c>
      <c r="B215" s="22" t="str">
        <f>IFERROR(__xludf.DUMMYFUNCTION("LEFT(REGEXREPLACE($A215, ""(?i)^8301(E000|E100|E200|E300)?"", """"), 4)"),"E910")</f>
        <v>E910</v>
      </c>
      <c r="C215" s="24">
        <v>46240.0</v>
      </c>
      <c r="D215" s="14" t="s">
        <v>129</v>
      </c>
      <c r="E215" s="70" t="s">
        <v>137</v>
      </c>
      <c r="F215" s="27" t="str">
        <f>IFERROR(__xludf.DUMMYFUNCTION("REGEXREPLACE($A215, ""(?i)^8301(E000|E100|E200|E300)?"", """")"),"E91000010F5C55F4A0D037F2D241C60500B9")</f>
        <v>E91000010F5C55F4A0D037F2D241C60500B9</v>
      </c>
    </row>
    <row r="216">
      <c r="A216" s="29" t="s">
        <v>351</v>
      </c>
      <c r="B216" s="22" t="str">
        <f>IFERROR(__xludf.DUMMYFUNCTION("LEFT(REGEXREPLACE($A216, ""(?i)^8301(E000|E100|E200|E300)?"", """"), 4)"),"E910")</f>
        <v>E910</v>
      </c>
      <c r="C216" s="24">
        <v>46240.0</v>
      </c>
      <c r="D216" s="14" t="s">
        <v>129</v>
      </c>
      <c r="E216" s="70" t="s">
        <v>137</v>
      </c>
      <c r="F216" s="27" t="str">
        <f>IFERROR(__xludf.DUMMYFUNCTION("REGEXREPLACE($A216, ""(?i)^8301(E000|E100|E200|E300)?"", """")"),"E91000060F5555F1A0D037F2D241C60300B0")</f>
        <v>E91000060F5555F1A0D037F2D241C60300B0</v>
      </c>
    </row>
    <row r="217">
      <c r="A217" s="29" t="s">
        <v>352</v>
      </c>
      <c r="B217" s="22" t="str">
        <f>IFERROR(__xludf.DUMMYFUNCTION("LEFT(REGEXREPLACE($A217, ""(?i)^8301(E000|E100|E200|E300)?"", """"), 4)"),"E910")</f>
        <v>E910</v>
      </c>
      <c r="C217" s="24">
        <v>46240.0</v>
      </c>
      <c r="D217" s="14" t="s">
        <v>129</v>
      </c>
      <c r="E217" s="70" t="s">
        <v>137</v>
      </c>
      <c r="F217" s="27" t="str">
        <f>IFERROR(__xludf.DUMMYFUNCTION("REGEXREPLACE($A217, ""(?i)^8301(E000|E100|E200|E300)?"", """")"),"E91000080F5555F1A0D037F2D241C60300B0")</f>
        <v>E91000080F5555F1A0D037F2D241C60300B0</v>
      </c>
    </row>
    <row r="218">
      <c r="A218" s="29" t="s">
        <v>353</v>
      </c>
      <c r="B218" s="22" t="str">
        <f>IFERROR(__xludf.DUMMYFUNCTION("LEFT(REGEXREPLACE($A218, ""(?i)^8301(E000|E100|E200|E300)?"", """"), 4)"),"E910")</f>
        <v>E910</v>
      </c>
      <c r="C218" s="24">
        <v>46240.0</v>
      </c>
      <c r="D218" s="14" t="s">
        <v>129</v>
      </c>
      <c r="E218" s="31" t="s">
        <v>130</v>
      </c>
      <c r="F218" s="27" t="str">
        <f>IFERROR(__xludf.DUMMYFUNCTION("REGEXREPLACE($A218, ""(?i)^8301(E000|E100|E200|E300)?"", """")"),"E910000F0F545D58F44882D146090AD06528")</f>
        <v>E910000F0F545D58F44882D146090AD06528</v>
      </c>
    </row>
    <row r="219" hidden="1">
      <c r="A219" s="18" t="s">
        <v>354</v>
      </c>
      <c r="B219" s="22" t="str">
        <f>IFERROR(__xludf.DUMMYFUNCTION("LEFT(REGEXREPLACE($A219, ""(?i)^8301(E000|E100|E200|E300)?"", """"), 4)"),"E911")</f>
        <v>E911</v>
      </c>
      <c r="C219" s="24">
        <v>46220.0</v>
      </c>
      <c r="D219" s="14" t="s">
        <v>106</v>
      </c>
      <c r="E219" s="14" t="s">
        <v>175</v>
      </c>
      <c r="F219" s="27" t="str">
        <f>IFERROR(__xludf.DUMMYFUNCTION("REGEXREPLACE($A219, ""(?i)^8301(E000|E100|E200|E300)?"", """")"),"E91100010F48485BF01834374894D13D050AB0")</f>
        <v>E91100010F48485BF01834374894D13D050AB0</v>
      </c>
    </row>
    <row r="220">
      <c r="A220" s="29" t="s">
        <v>355</v>
      </c>
      <c r="B220" s="22" t="str">
        <f>IFERROR(__xludf.DUMMYFUNCTION("LEFT(REGEXREPLACE($A220, ""(?i)^8301(E000|E100|E200|E300)?"", """"), 4)"),"E911")</f>
        <v>E911</v>
      </c>
      <c r="C220" s="24">
        <v>46240.0</v>
      </c>
      <c r="D220" s="14" t="s">
        <v>129</v>
      </c>
      <c r="E220" s="70" t="s">
        <v>137</v>
      </c>
      <c r="F220" s="27" t="str">
        <f>IFERROR(__xludf.DUMMYFUNCTION("REGEXREPLACE($A220, ""(?i)^8301(E000|E100|E200|E300)?"", """")"),"E91100010F5B5B5BF01834374894D13D050AB0")</f>
        <v>E91100010F5B5B5BF01834374894D13D050AB0</v>
      </c>
    </row>
    <row r="221" hidden="1">
      <c r="A221" s="18" t="s">
        <v>356</v>
      </c>
      <c r="B221" s="22" t="str">
        <f>IFERROR(__xludf.DUMMYFUNCTION("LEFT(REGEXREPLACE($A221, ""(?i)^8301(E000|E100|E200|E300)?"", """"), 4)"),"E911")</f>
        <v>E911</v>
      </c>
      <c r="C221" s="24">
        <v>46220.0</v>
      </c>
      <c r="D221" s="14" t="s">
        <v>106</v>
      </c>
      <c r="E221" s="14" t="s">
        <v>175</v>
      </c>
      <c r="F221" s="27" t="str">
        <f>IFERROR(__xludf.DUMMYFUNCTION("REGEXREPLACE($A221, ""(?i)^8301(E000|E100|E200|E300)?"", """")"),"E91100020F48485BF01834374894D13D050AB0")</f>
        <v>E91100020F48485BF01834374894D13D050AB0</v>
      </c>
    </row>
    <row r="222" hidden="1">
      <c r="A222" s="18" t="s">
        <v>358</v>
      </c>
      <c r="B222" s="22" t="str">
        <f>IFERROR(__xludf.DUMMYFUNCTION("LEFT(REGEXREPLACE($A222, ""(?i)^8301(E000|E100|E200|E300)?"", """"), 4)"),"E911")</f>
        <v>E911</v>
      </c>
      <c r="C222" s="24">
        <v>46220.0</v>
      </c>
      <c r="D222" s="14" t="s">
        <v>106</v>
      </c>
      <c r="E222" s="14" t="s">
        <v>175</v>
      </c>
      <c r="F222" s="27" t="str">
        <f>IFERROR(__xludf.DUMMYFUNCTION("REGEXREPLACE($A222, ""(?i)^8301(E000|E100|E200|E300)?"", """")"),"E91100020F4E4D5BF03134374894D13D0507B0")</f>
        <v>E91100020F4E4D5BF03134374894D13D0507B0</v>
      </c>
    </row>
    <row r="223" hidden="1">
      <c r="A223" s="18" t="s">
        <v>359</v>
      </c>
      <c r="B223" s="22" t="str">
        <f>IFERROR(__xludf.DUMMYFUNCTION("LEFT(REGEXREPLACE($A223, ""(?i)^8301(E000|E100|E200|E300)?"", """"), 4)"),"E911")</f>
        <v>E911</v>
      </c>
      <c r="C223" s="24">
        <v>46220.0</v>
      </c>
      <c r="D223" s="14" t="s">
        <v>106</v>
      </c>
      <c r="E223" s="14" t="s">
        <v>175</v>
      </c>
      <c r="F223" s="27" t="str">
        <f>IFERROR(__xludf.DUMMYFUNCTION("REGEXREPLACE($A223, ""(?i)^8301(E000|E100|E200|E300)?"", """")"),"E91100020F51515BF03134374894D13D0507B0")</f>
        <v>E91100020F51515BF03134374894D13D0507B0</v>
      </c>
    </row>
    <row r="224">
      <c r="A224" s="29" t="s">
        <v>360</v>
      </c>
      <c r="B224" s="22" t="str">
        <f>IFERROR(__xludf.DUMMYFUNCTION("LEFT(REGEXREPLACE($A224, ""(?i)^8301(E000|E100|E200|E300)?"", """"), 4)"),"E911")</f>
        <v>E911</v>
      </c>
      <c r="C224" s="24">
        <v>46207.0</v>
      </c>
      <c r="D224" s="14" t="s">
        <v>129</v>
      </c>
      <c r="E224" s="14" t="s">
        <v>137</v>
      </c>
      <c r="F224" s="27" t="str">
        <f>IFERROR(__xludf.DUMMYFUNCTION("REGEXREPLACE($A224, ""(?i)^8301(E000|E100|E200|E300)?"", """")"),"E91100020F5D555BF03134374894D13D0507B0")</f>
        <v>E91100020F5D555BF03134374894D13D0507B0</v>
      </c>
    </row>
    <row r="225">
      <c r="A225" s="18" t="s">
        <v>361</v>
      </c>
      <c r="B225" s="22" t="str">
        <f>IFERROR(__xludf.DUMMYFUNCTION("LEFT(REGEXREPLACE($A225, ""(?i)^8301(E000|E100|E200|E300)?"", """"), 4)"),"E911")</f>
        <v>E911</v>
      </c>
      <c r="C225" s="24">
        <v>46219.0</v>
      </c>
      <c r="D225" s="14" t="s">
        <v>75</v>
      </c>
      <c r="E225" s="14" t="s">
        <v>120</v>
      </c>
      <c r="F225" s="27" t="str">
        <f>IFERROR(__xludf.DUMMYFUNCTION("REGEXREPLACE($A225, ""(?i)^8301(E000|E100|E200|E300)?"", """")"),"E911000F0F444F58F44882D146060AD06543B0")</f>
        <v>E911000F0F444F58F44882D146060AD06543B0</v>
      </c>
    </row>
    <row r="226">
      <c r="A226" s="18" t="s">
        <v>362</v>
      </c>
      <c r="B226" s="22" t="str">
        <f>IFERROR(__xludf.DUMMYFUNCTION("LEFT(REGEXREPLACE($A226, ""(?i)^8301(E000|E100|E200|E300)?"", """"), 4)"),"E911")</f>
        <v>E911</v>
      </c>
      <c r="C226" s="24">
        <v>46219.0</v>
      </c>
      <c r="D226" s="14" t="s">
        <v>75</v>
      </c>
      <c r="E226" s="14" t="s">
        <v>120</v>
      </c>
      <c r="F226" s="27" t="str">
        <f>IFERROR(__xludf.DUMMYFUNCTION("REGEXREPLACE($A226, ""(?i)^8301(E000|E100|E200|E300)?"", """")"),"E911000F0F485958F44882D146020DD06505B0")</f>
        <v>E911000F0F485958F44882D146020DD06505B0</v>
      </c>
    </row>
    <row r="227">
      <c r="A227" s="18" t="s">
        <v>363</v>
      </c>
      <c r="B227" s="22" t="str">
        <f>IFERROR(__xludf.DUMMYFUNCTION("LEFT(REGEXREPLACE($A227, ""(?i)^8301(E000|E100|E200|E300)?"", """"), 4)"),"E911")</f>
        <v>E911</v>
      </c>
      <c r="C227" s="24">
        <v>46219.0</v>
      </c>
      <c r="D227" s="14" t="s">
        <v>75</v>
      </c>
      <c r="E227" s="14" t="s">
        <v>120</v>
      </c>
      <c r="F227" s="27" t="str">
        <f>IFERROR(__xludf.DUMMYFUNCTION("REGEXREPLACE($A227, ""(?i)^8301(E000|E100|E200|E300)?"", """")"),"E911000F0F515558F44882D146023ED06505B0")</f>
        <v>E911000F0F515558F44882D146023ED06505B0</v>
      </c>
    </row>
    <row r="228">
      <c r="A228" s="18" t="s">
        <v>364</v>
      </c>
      <c r="B228" s="22" t="str">
        <f>IFERROR(__xludf.DUMMYFUNCTION("LEFT(REGEXREPLACE($A228, ""(?i)^8301(E000|E100|E200|E300)?"", """"), 4)"),"E911")</f>
        <v>E911</v>
      </c>
      <c r="C228" s="24">
        <v>46219.0</v>
      </c>
      <c r="D228" s="14" t="s">
        <v>75</v>
      </c>
      <c r="E228" s="14" t="s">
        <v>120</v>
      </c>
      <c r="F228" s="27" t="str">
        <f>IFERROR(__xludf.DUMMYFUNCTION("REGEXREPLACE($A228, ""(?i)^8301(E000|E100|E200|E300)?"", """")"),"E911000F0F545158F44882D146020DD06505B0")</f>
        <v>E911000F0F545158F44882D146020DD06505B0</v>
      </c>
    </row>
    <row r="229" hidden="1">
      <c r="A229" s="18" t="s">
        <v>306</v>
      </c>
      <c r="B229" s="22" t="str">
        <f>IFERROR(__xludf.DUMMYFUNCTION("LEFT(REGEXREPLACE($A229, ""(?i)^8301(E000|E100|E200|E300)?"", """"), 4)"),"E911")</f>
        <v>E911</v>
      </c>
      <c r="C229" s="24">
        <v>46220.0</v>
      </c>
      <c r="D229" s="14" t="s">
        <v>106</v>
      </c>
      <c r="E229" s="14" t="s">
        <v>107</v>
      </c>
      <c r="F229" s="27" t="str">
        <f>IFERROR(__xludf.DUMMYFUNCTION("REGEXREPLACE($A229, ""(?i)^8301(E000|E100|E200|E300)?"", """")"),"E911001F0FB2B2B2BDBD30D037F4D246006464")</f>
        <v>E911001F0FB2B2B2BDBD30D037F4D246006464</v>
      </c>
    </row>
    <row r="230" hidden="1">
      <c r="A230" s="18" t="s">
        <v>365</v>
      </c>
      <c r="B230" s="22" t="str">
        <f>IFERROR(__xludf.DUMMYFUNCTION("LEFT(REGEXREPLACE($A230, ""(?i)^8301(E000|E100|E200|E300)?"", """"), 4)"),"E911")</f>
        <v>E911</v>
      </c>
      <c r="C230" s="24">
        <v>46220.0</v>
      </c>
      <c r="D230" s="14" t="s">
        <v>106</v>
      </c>
      <c r="E230" s="14" t="s">
        <v>107</v>
      </c>
      <c r="F230" s="27" t="str">
        <f>IFERROR(__xludf.DUMMYFUNCTION("REGEXREPLACE($A230, ""(?i)^8301(E000|E100|E200|E300)?"", """")"),"E911001F0FB3B3B3BDBD30D037F4D246006464")</f>
        <v>E911001F0FB3B3B3BDBD30D037F4D246006464</v>
      </c>
    </row>
    <row r="231" hidden="1">
      <c r="A231" s="18" t="s">
        <v>366</v>
      </c>
      <c r="B231" s="22" t="str">
        <f>IFERROR(__xludf.DUMMYFUNCTION("LEFT(REGEXREPLACE($A231, ""(?i)^8301(E000|E100|E200|E300)?"", """"), 4)"),"E911")</f>
        <v>E911</v>
      </c>
      <c r="C231" s="24">
        <v>46220.0</v>
      </c>
      <c r="D231" s="14" t="s">
        <v>106</v>
      </c>
      <c r="E231" s="14" t="s">
        <v>107</v>
      </c>
      <c r="F231" s="27" t="str">
        <f>IFERROR(__xludf.DUMMYFUNCTION("REGEXREPLACE($A231, ""(?i)^8301(E000|E100|E200|E300)?"", """")"),"E911001F0FB5B5B5BDBD30D037F4D246006464")</f>
        <v>E911001F0FB5B5B5BDBD30D037F4D246006464</v>
      </c>
    </row>
    <row r="232" hidden="1">
      <c r="A232" s="18" t="s">
        <v>367</v>
      </c>
      <c r="B232" s="22" t="str">
        <f>IFERROR(__xludf.DUMMYFUNCTION("LEFT(REGEXREPLACE($A232, ""(?i)^8301(E000|E100|E200|E300)?"", """"), 4)"),"E911")</f>
        <v>E911</v>
      </c>
      <c r="C232" s="24">
        <v>46220.0</v>
      </c>
      <c r="D232" s="14" t="s">
        <v>106</v>
      </c>
      <c r="E232" s="14" t="s">
        <v>107</v>
      </c>
      <c r="F232" s="27" t="str">
        <f>IFERROR(__xludf.DUMMYFUNCTION("REGEXREPLACE($A232, ""(?i)^8301(E000|E100|E200|E300)?"", """")"),"E911001F0FB6B6B6BDBD30D037F4D246006464")</f>
        <v>E911001F0FB6B6B6BDBD30D037F4D246006464</v>
      </c>
    </row>
    <row r="233" hidden="1">
      <c r="A233" s="18" t="s">
        <v>368</v>
      </c>
      <c r="B233" s="22" t="str">
        <f>IFERROR(__xludf.DUMMYFUNCTION("LEFT(REGEXREPLACE($A233, ""(?i)^8301(E000|E100|E200|E300)?"", """"), 4)"),"E911")</f>
        <v>E911</v>
      </c>
      <c r="C233" s="24">
        <v>46220.0</v>
      </c>
      <c r="D233" s="14" t="s">
        <v>106</v>
      </c>
      <c r="E233" s="14" t="s">
        <v>107</v>
      </c>
      <c r="F233" s="27" t="str">
        <f>IFERROR(__xludf.DUMMYFUNCTION("REGEXREPLACE($A233, ""(?i)^8301(E000|E100|E200|E300)?"", """")"),"E911001F0FBCBCBCBDBD30D037F4D246006464")</f>
        <v>E911001F0FBCBCBCBDBD30D037F4D246006464</v>
      </c>
    </row>
    <row r="234">
      <c r="A234" s="18" t="s">
        <v>369</v>
      </c>
      <c r="B234" s="22" t="str">
        <f>IFERROR(__xludf.DUMMYFUNCTION("LEFT(REGEXREPLACE($A234, ""(?i)^8301(E000|E100|E200|E300)?"", """"), 4)"),"E911")</f>
        <v>E911</v>
      </c>
      <c r="C234" s="24">
        <v>46208.0</v>
      </c>
      <c r="D234" s="14" t="s">
        <v>75</v>
      </c>
      <c r="E234" s="14" t="s">
        <v>76</v>
      </c>
      <c r="F234" s="27" t="str">
        <f>IFERROR(__xludf.DUMMYFUNCTION("REGEXREPLACE($A234, ""(?i)^8301(E000|E100|E200|E300)?"", """")"),"E911002A0F5D5358F44882D1460602D06543B0")</f>
        <v>E911002A0F5D5358F44882D1460602D06543B0</v>
      </c>
    </row>
    <row r="235">
      <c r="A235" s="18" t="s">
        <v>266</v>
      </c>
      <c r="B235" s="22" t="str">
        <f>IFERROR(__xludf.DUMMYFUNCTION("LEFT(REGEXREPLACE($A235, ""(?i)^8301(E000|E100|E200|E300)?"", """"), 4)"),"E911")</f>
        <v>E911</v>
      </c>
      <c r="C235" s="24">
        <v>46208.0</v>
      </c>
      <c r="D235" s="14" t="s">
        <v>75</v>
      </c>
      <c r="E235" s="14" t="s">
        <v>76</v>
      </c>
      <c r="F235" s="27" t="str">
        <f>IFERROR(__xludf.DUMMYFUNCTION("REGEXREPLACE($A235, ""(?i)^8301(E000|E100|E200|E300)?"", """")"),"E911002F0F444F58F44882D146090DD06519B0")</f>
        <v>E911002F0F444F58F44882D146090DD06519B0</v>
      </c>
    </row>
    <row r="236">
      <c r="A236" s="18" t="s">
        <v>370</v>
      </c>
      <c r="B236" s="22" t="str">
        <f>IFERROR(__xludf.DUMMYFUNCTION("LEFT(REGEXREPLACE($A236, ""(?i)^8301(E000|E100|E200|E300)?"", """"), 4)"),"E911")</f>
        <v>E911</v>
      </c>
      <c r="C236" s="24">
        <v>46219.0</v>
      </c>
      <c r="D236" s="14" t="s">
        <v>75</v>
      </c>
      <c r="E236" s="14" t="s">
        <v>76</v>
      </c>
      <c r="F236" s="27" t="str">
        <f>IFERROR(__xludf.DUMMYFUNCTION("REGEXREPLACE($A236, ""(?i)^8301(E000|E100|E200|E300)?"", """")"),"E911002F0F594758F44882D146090DD06519B0")</f>
        <v>E911002F0F594758F44882D146090DD06519B0</v>
      </c>
    </row>
    <row r="237">
      <c r="A237" s="29" t="s">
        <v>371</v>
      </c>
      <c r="B237" s="22" t="str">
        <f>IFERROR(__xludf.DUMMYFUNCTION("LEFT(REGEXREPLACE($A237, ""(?i)^8301(E000|E100|E200|E300)?"", """"), 4)"),"E911")</f>
        <v>E911</v>
      </c>
      <c r="C237" s="30">
        <v>46235.0</v>
      </c>
      <c r="D237" s="31" t="s">
        <v>75</v>
      </c>
      <c r="E237" s="31" t="s">
        <v>76</v>
      </c>
      <c r="F237" s="27" t="str">
        <f>IFERROR(__xludf.DUMMYFUNCTION("REGEXREPLACE($A237, ""(?i)^8301(E000|E100|E200|E300)?"", """")"),"E911002F0F5B4858F44882D146090DD06519B0")</f>
        <v>E911002F0F5B4858F44882D146090DD06519B0</v>
      </c>
    </row>
    <row r="238">
      <c r="A238" s="29" t="s">
        <v>372</v>
      </c>
      <c r="B238" s="22" t="str">
        <f>IFERROR(__xludf.DUMMYFUNCTION("LEFT(REGEXREPLACE($A238, ""(?i)^8301(E000|E100|E200|E300)?"", """"), 4)"),"E911")</f>
        <v>E911</v>
      </c>
      <c r="C238" s="24">
        <v>46207.0</v>
      </c>
      <c r="D238" s="14" t="s">
        <v>129</v>
      </c>
      <c r="E238" s="14" t="s">
        <v>137</v>
      </c>
      <c r="F238" s="27" t="str">
        <f>IFERROR(__xludf.DUMMYFUNCTION("REGEXREPLACE($A238, ""(?i)^8301(E000|E100|E200|E300)?"", """")"),"E91100440F475558F44882D1460607D06536B0")</f>
        <v>E91100440F475558F44882D1460607D06536B0</v>
      </c>
    </row>
    <row r="239">
      <c r="A239" s="29" t="s">
        <v>373</v>
      </c>
      <c r="B239" s="22" t="str">
        <f>IFERROR(__xludf.DUMMYFUNCTION("LEFT(REGEXREPLACE($A239, ""(?i)^8301(E000|E100|E200|E300)?"", """"), 4)"),"E911")</f>
        <v>E911</v>
      </c>
      <c r="C239" s="24">
        <v>46207.0</v>
      </c>
      <c r="D239" s="14" t="s">
        <v>129</v>
      </c>
      <c r="E239" s="14" t="s">
        <v>137</v>
      </c>
      <c r="F239" s="27" t="str">
        <f>IFERROR(__xludf.DUMMYFUNCTION("REGEXREPLACE($A239, ""(?i)^8301(E000|E100|E200|E300)?"", """")"),"E91100440F5B5D58F44882D146050FD06500B0")</f>
        <v>E91100440F5B5D58F44882D146050FD06500B0</v>
      </c>
    </row>
    <row r="240">
      <c r="A240" s="29" t="s">
        <v>374</v>
      </c>
      <c r="B240" s="22" t="str">
        <f>IFERROR(__xludf.DUMMYFUNCTION("LEFT(REGEXREPLACE($A240, ""(?i)^8301(E000|E100|E200|E300)?"", """"), 4)"),"E911")</f>
        <v>E911</v>
      </c>
      <c r="C240" s="24">
        <v>46207.0</v>
      </c>
      <c r="D240" s="14" t="s">
        <v>129</v>
      </c>
      <c r="E240" s="14" t="s">
        <v>137</v>
      </c>
      <c r="F240" s="27" t="str">
        <f>IFERROR(__xludf.DUMMYFUNCTION("REGEXREPLACE($A240, ""(?i)^8301(E000|E100|E200|E300)?"", """")"),"E91100480F43485BF0403F374894D13D051EB0")</f>
        <v>E91100480F43485BF0403F374894D13D051EB0</v>
      </c>
    </row>
    <row r="241">
      <c r="A241" s="18" t="s">
        <v>375</v>
      </c>
      <c r="B241" s="22" t="str">
        <f>IFERROR(__xludf.DUMMYFUNCTION("LEFT(REGEXREPLACE($A241, ""(?i)^8301(E000|E100|E200|E300)?"", """"), 4)"),"E911")</f>
        <v>E911</v>
      </c>
      <c r="C241" s="24">
        <v>46219.0</v>
      </c>
      <c r="D241" s="14" t="s">
        <v>75</v>
      </c>
      <c r="E241" s="14" t="s">
        <v>120</v>
      </c>
      <c r="F241" s="27" t="str">
        <f>IFERROR(__xludf.DUMMYFUNCTION("REGEXREPLACE($A241, ""(?i)^8301(E000|E100|E200|E300)?"", """")"),"E911004F0F444F58F44882D1460607D06543B0")</f>
        <v>E911004F0F444F58F44882D1460607D06543B0</v>
      </c>
    </row>
    <row r="242">
      <c r="A242" s="29" t="s">
        <v>376</v>
      </c>
      <c r="B242" s="22" t="str">
        <f>IFERROR(__xludf.DUMMYFUNCTION("LEFT(REGEXREPLACE($A242, ""(?i)^8301(E000|E100|E200|E300)?"", """"), 4)"),"E911")</f>
        <v>E911</v>
      </c>
      <c r="C242" s="24">
        <v>46240.0</v>
      </c>
      <c r="D242" s="14" t="s">
        <v>129</v>
      </c>
      <c r="E242" s="70" t="s">
        <v>137</v>
      </c>
      <c r="F242" s="27" t="str">
        <f>IFERROR(__xludf.DUMMYFUNCTION("REGEXREPLACE($A242, ""(?i)^8301(E000|E100|E200|E300)?"", """")"),"E91100540F434758F44882D146050FD06500BA")</f>
        <v>E91100540F434758F44882D146050FD06500BA</v>
      </c>
    </row>
    <row r="243">
      <c r="A243" s="18" t="s">
        <v>377</v>
      </c>
      <c r="B243" s="22" t="str">
        <f>IFERROR(__xludf.DUMMYFUNCTION("LEFT(REGEXREPLACE($A243, ""(?i)^8301(E000|E100|E200|E300)?"", """"), 4)"),"E911")</f>
        <v>E911</v>
      </c>
      <c r="C243" s="24">
        <v>46208.0</v>
      </c>
      <c r="D243" s="14" t="s">
        <v>75</v>
      </c>
      <c r="E243" s="14" t="s">
        <v>143</v>
      </c>
      <c r="F243" s="27" t="str">
        <f>IFERROR(__xludf.DUMMYFUNCTION("REGEXREPLACE($A243, ""(?i)^8301(E000|E100|E200|E300)?"", """")"),"E91100540F445558F44882D146050FD06500B0")</f>
        <v>E91100540F445558F44882D146050FD06500B0</v>
      </c>
    </row>
    <row r="244">
      <c r="A244" s="29" t="s">
        <v>378</v>
      </c>
      <c r="B244" s="22" t="str">
        <f>IFERROR(__xludf.DUMMYFUNCTION("LEFT(REGEXREPLACE($A244, ""(?i)^8301(E000|E100|E200|E300)?"", """"), 4)"),"E911")</f>
        <v>E911</v>
      </c>
      <c r="C244" s="24">
        <v>46207.0</v>
      </c>
      <c r="D244" s="14" t="s">
        <v>129</v>
      </c>
      <c r="E244" s="14" t="s">
        <v>137</v>
      </c>
      <c r="F244" s="27" t="str">
        <f>IFERROR(__xludf.DUMMYFUNCTION("REGEXREPLACE($A244, ""(?i)^8301(E000|E100|E200|E300)?"", """")"),"E91100540F534D58F44882D146050FD06500B0")</f>
        <v>E91100540F534D58F44882D146050FD06500B0</v>
      </c>
    </row>
    <row r="245">
      <c r="A245" s="29" t="s">
        <v>379</v>
      </c>
      <c r="B245" s="22" t="str">
        <f>IFERROR(__xludf.DUMMYFUNCTION("LEFT(REGEXREPLACE($A245, ""(?i)^8301(E000|E100|E200|E300)?"", """"), 4)"),"E911")</f>
        <v>E911</v>
      </c>
      <c r="C245" s="24">
        <v>46207.0</v>
      </c>
      <c r="D245" s="14" t="s">
        <v>129</v>
      </c>
      <c r="E245" s="14" t="s">
        <v>137</v>
      </c>
      <c r="F245" s="27" t="str">
        <f>IFERROR(__xludf.DUMMYFUNCTION("REGEXREPLACE($A245, ""(?i)^8301(E000|E100|E200|E300)?"", """")"),"E91100560F534D58F44882D146050FD06500BA")</f>
        <v>E91100560F534D58F44882D146050FD06500BA</v>
      </c>
    </row>
    <row r="246">
      <c r="A246" s="29" t="s">
        <v>380</v>
      </c>
      <c r="B246" s="22" t="str">
        <f>IFERROR(__xludf.DUMMYFUNCTION("LEFT(REGEXREPLACE($A246, ""(?i)^8301(E000|E100|E200|E300)?"", """"), 4)"),"E911")</f>
        <v>E911</v>
      </c>
      <c r="C246" s="24">
        <v>46207.0</v>
      </c>
      <c r="D246" s="14" t="s">
        <v>129</v>
      </c>
      <c r="E246" s="14" t="s">
        <v>137</v>
      </c>
      <c r="F246" s="27" t="str">
        <f>IFERROR(__xludf.DUMMYFUNCTION("REGEXREPLACE($A246, ""(?i)^8301(E000|E100|E200|E300)?"", """")"),"E91100560F555D58F44882D146050FD06500B0")</f>
        <v>E91100560F555D58F44882D146050FD06500B0</v>
      </c>
    </row>
    <row r="247" hidden="1">
      <c r="A247" s="18" t="s">
        <v>381</v>
      </c>
      <c r="B247" s="22" t="str">
        <f>IFERROR(__xludf.DUMMYFUNCTION("LEFT(REGEXREPLACE($A247, ""(?i)^8301(E000|E100|E200|E300)?"", """"), 4)"),"E911")</f>
        <v>E911</v>
      </c>
      <c r="C247" s="24">
        <v>46220.0</v>
      </c>
      <c r="D247" s="14" t="s">
        <v>106</v>
      </c>
      <c r="E247" s="14" t="s">
        <v>175</v>
      </c>
      <c r="F247" s="27" t="str">
        <f>IFERROR(__xludf.DUMMYFUNCTION("REGEXREPLACE($A247, ""(?i)^8301(E000|E100|E200|E300)?"", """")"),"E91100630F424058F44882D1460205D06500B0")</f>
        <v>E91100630F424058F44882D1460205D06500B0</v>
      </c>
    </row>
    <row r="248">
      <c r="A248" s="29" t="s">
        <v>382</v>
      </c>
      <c r="B248" s="22" t="str">
        <f>IFERROR(__xludf.DUMMYFUNCTION("LEFT(REGEXREPLACE($A248, ""(?i)^8301(E000|E100|E200|E300)?"", """"), 4)"),"E911")</f>
        <v>E911</v>
      </c>
      <c r="C248" s="24">
        <v>46207.0</v>
      </c>
      <c r="D248" s="14" t="s">
        <v>129</v>
      </c>
      <c r="E248" s="14" t="s">
        <v>137</v>
      </c>
      <c r="F248" s="27" t="str">
        <f>IFERROR(__xludf.DUMMYFUNCTION("REGEXREPLACE($A248, ""(?i)^8301(E000|E100|E200|E300)?"", """")"),"E91100680F534D58F44882D146050FD06500BA")</f>
        <v>E91100680F534D58F44882D146050FD06500BA</v>
      </c>
    </row>
    <row r="249">
      <c r="A249" s="18" t="s">
        <v>286</v>
      </c>
      <c r="B249" s="22" t="str">
        <f>IFERROR(__xludf.DUMMYFUNCTION("LEFT(REGEXREPLACE($A249, ""(?i)^8301(E000|E100|E200|E300)?"", """"), 4)"),"E911")</f>
        <v>E911</v>
      </c>
      <c r="C249" s="24">
        <v>46208.0</v>
      </c>
      <c r="D249" s="14" t="s">
        <v>75</v>
      </c>
      <c r="E249" s="14" t="s">
        <v>76</v>
      </c>
      <c r="F249" s="27" t="str">
        <f>IFERROR(__xludf.DUMMYFUNCTION("REGEXREPLACE($A249, ""(?i)^8301(E000|E100|E200|E300)?"", """")"),"E911006F0F404B58F44882D146020CD06519B0")</f>
        <v>E911006F0F404B58F44882D146020CD06519B0</v>
      </c>
    </row>
    <row r="250">
      <c r="A250" s="18" t="s">
        <v>384</v>
      </c>
      <c r="B250" s="22" t="str">
        <f>IFERROR(__xludf.DUMMYFUNCTION("LEFT(REGEXREPLACE($A250, ""(?i)^8301(E000|E100|E200|E300)?"", """"), 4)"),"E911")</f>
        <v>E911</v>
      </c>
      <c r="C250" s="24">
        <v>46208.0</v>
      </c>
      <c r="D250" s="14" t="s">
        <v>75</v>
      </c>
      <c r="E250" s="14" t="s">
        <v>76</v>
      </c>
      <c r="F250" s="27" t="str">
        <f>IFERROR(__xludf.DUMMYFUNCTION("REGEXREPLACE($A250, ""(?i)^8301(E000|E100|E200|E300)?"", """")"),"E911006F0F445B58F44882D1460609D06543B0")</f>
        <v>E911006F0F445B58F44882D1460609D06543B0</v>
      </c>
    </row>
    <row r="251">
      <c r="A251" s="18" t="s">
        <v>385</v>
      </c>
      <c r="B251" s="22" t="str">
        <f>IFERROR(__xludf.DUMMYFUNCTION("LEFT(REGEXREPLACE($A251, ""(?i)^8301(E000|E100|E200|E300)?"", """"), 4)"),"E911")</f>
        <v>E911</v>
      </c>
      <c r="C251" s="24">
        <v>46219.0</v>
      </c>
      <c r="D251" s="14" t="s">
        <v>75</v>
      </c>
      <c r="E251" s="14" t="s">
        <v>120</v>
      </c>
      <c r="F251" s="27" t="str">
        <f>IFERROR(__xludf.DUMMYFUNCTION("REGEXREPLACE($A251, ""(?i)^8301(E000|E100|E200|E300)?"", """")"),"E911006F0F564858F44882D1460208D06500B0")</f>
        <v>E911006F0F564858F44882D1460208D06500B0</v>
      </c>
    </row>
    <row r="252" hidden="1">
      <c r="A252" s="18" t="s">
        <v>386</v>
      </c>
      <c r="B252" s="22" t="str">
        <f>IFERROR(__xludf.DUMMYFUNCTION("LEFT(REGEXREPLACE($A252, ""(?i)^8301(E000|E100|E200|E300)?"", """"), 4)"),"E911")</f>
        <v>E911</v>
      </c>
      <c r="C252" s="24">
        <v>46220.0</v>
      </c>
      <c r="D252" s="14" t="s">
        <v>106</v>
      </c>
      <c r="E252" s="14" t="s">
        <v>175</v>
      </c>
      <c r="F252" s="27" t="str">
        <f>IFERROR(__xludf.DUMMYFUNCTION("REGEXREPLACE($A252, ""(?i)^8301(E000|E100|E200|E300)?"", """")"),"E91100870F565958F44882D1460513D06500B0")</f>
        <v>E91100870F565958F44882D1460513D06500B0</v>
      </c>
    </row>
    <row r="253">
      <c r="A253" s="18" t="s">
        <v>387</v>
      </c>
      <c r="B253" s="22" t="str">
        <f>IFERROR(__xludf.DUMMYFUNCTION("LEFT(REGEXREPLACE($A253, ""(?i)^8301(E000|E100|E200|E300)?"", """"), 4)"),"E911")</f>
        <v>E911</v>
      </c>
      <c r="C253" s="24">
        <v>46208.0</v>
      </c>
      <c r="D253" s="14" t="s">
        <v>75</v>
      </c>
      <c r="E253" s="14" t="s">
        <v>76</v>
      </c>
      <c r="F253" s="27" t="str">
        <f>IFERROR(__xludf.DUMMYFUNCTION("REGEXREPLACE($A253, ""(?i)^8301(E000|E100|E200|E300)?"", """")"),"E911008F0F535C58F44882D1460207D06558B0")</f>
        <v>E911008F0F535C58F44882D1460207D06558B0</v>
      </c>
    </row>
    <row r="254">
      <c r="A254" s="29" t="s">
        <v>388</v>
      </c>
      <c r="B254" s="22" t="str">
        <f>IFERROR(__xludf.DUMMYFUNCTION("LEFT(REGEXREPLACE($A254, ""(?i)^8301(E000|E100|E200|E300)?"", """"), 4)"),"E911")</f>
        <v>E911</v>
      </c>
      <c r="C254" s="30">
        <v>46235.0</v>
      </c>
      <c r="D254" s="31" t="s">
        <v>75</v>
      </c>
      <c r="E254" s="31" t="s">
        <v>76</v>
      </c>
      <c r="F254" s="27" t="str">
        <f>IFERROR(__xludf.DUMMYFUNCTION("REGEXREPLACE($A254, ""(?i)^8301(E000|E100|E200|E300)?"", """")"),"E911008F0F594258F44882D146020DD06558B0")</f>
        <v>E911008F0F594258F44882D146020DD06558B0</v>
      </c>
    </row>
    <row r="255">
      <c r="A255" s="29" t="s">
        <v>389</v>
      </c>
      <c r="B255" s="22" t="str">
        <f>IFERROR(__xludf.DUMMYFUNCTION("LEFT(REGEXREPLACE($A255, ""(?i)^8301(E000|E100|E200|E300)?"", """"), 4)"),"E911")</f>
        <v>E911</v>
      </c>
      <c r="C255" s="30">
        <v>46235.0</v>
      </c>
      <c r="D255" s="31" t="s">
        <v>75</v>
      </c>
      <c r="E255" s="31" t="s">
        <v>76</v>
      </c>
      <c r="F255" s="27" t="str">
        <f>IFERROR(__xludf.DUMMYFUNCTION("REGEXREPLACE($A255, ""(?i)^8301(E000|E100|E200|E300)?"", """")"),"E911008F0F5B5D58F44882D146052BD06538B0")</f>
        <v>E911008F0F5B5D58F44882D146052BD06538B0</v>
      </c>
    </row>
    <row r="256">
      <c r="A256" s="18" t="s">
        <v>390</v>
      </c>
      <c r="B256" s="22" t="str">
        <f>IFERROR(__xludf.DUMMYFUNCTION("LEFT(REGEXREPLACE($A256, ""(?i)^8301(E000|E100|E200|E300)?"", """"), 4)"),"E911")</f>
        <v>E911</v>
      </c>
      <c r="C256" s="24">
        <v>46228.0</v>
      </c>
      <c r="D256" s="14" t="s">
        <v>75</v>
      </c>
      <c r="E256" s="14" t="s">
        <v>76</v>
      </c>
      <c r="F256" s="27" t="str">
        <f>IFERROR(__xludf.DUMMYFUNCTION("REGEXREPLACE($A256, ""(?i)^8301(E000|E100|E200|E300)?"", """")"),"E911009F0F5B5D58F44882D146052BD06538B0")</f>
        <v>E911009F0F5B5D58F44882D146052BD06538B0</v>
      </c>
    </row>
    <row r="257">
      <c r="A257" s="18" t="s">
        <v>391</v>
      </c>
      <c r="B257" s="22" t="str">
        <f>IFERROR(__xludf.DUMMYFUNCTION("LEFT(REGEXREPLACE($A257, ""(?i)^8301(E000|E100|E200|E300)?"", """"), 4)"),"E911")</f>
        <v>E911</v>
      </c>
      <c r="C257" s="24">
        <v>46208.0</v>
      </c>
      <c r="D257" s="14" t="s">
        <v>75</v>
      </c>
      <c r="E257" s="14" t="s">
        <v>76</v>
      </c>
      <c r="F257" s="27" t="str">
        <f>IFERROR(__xludf.DUMMYFUNCTION("REGEXREPLACE($A257, ""(?i)^8301(E000|E100|E200|E300)?"", """")"),"E91100AF0F5B5D58F44882D146052BD06538B0")</f>
        <v>E91100AF0F5B5D58F44882D146052BD06538B0</v>
      </c>
    </row>
    <row r="258" hidden="1">
      <c r="A258" s="18" t="s">
        <v>310</v>
      </c>
      <c r="B258" s="22" t="str">
        <f>IFERROR(__xludf.DUMMYFUNCTION("LEFT(REGEXREPLACE($A258, ""(?i)^8301(E000|E100|E200|E300)?"", """"), 4)"),"E911")</f>
        <v>E911</v>
      </c>
      <c r="C258" s="24">
        <v>46220.0</v>
      </c>
      <c r="D258" s="14" t="s">
        <v>106</v>
      </c>
      <c r="E258" s="14" t="s">
        <v>107</v>
      </c>
      <c r="F258" s="27" t="str">
        <f>IFERROR(__xludf.DUMMYFUNCTION("REGEXREPLACE($A258, ""(?i)^8301(E000|E100|E200|E300)?"", """")"),"E91100C10FA2B2B9ACB530D037F4D246001978")</f>
        <v>E91100C10FA2B2B9ACB530D037F4D246001978</v>
      </c>
    </row>
    <row r="259">
      <c r="A259" s="29" t="s">
        <v>392</v>
      </c>
      <c r="B259" s="22" t="str">
        <f>IFERROR(__xludf.DUMMYFUNCTION("LEFT(REGEXREPLACE($A259, ""(?i)^8301(E000|E100|E200|E300)?"", """"), 4)"),"E911")</f>
        <v>E911</v>
      </c>
      <c r="C259" s="24">
        <v>46240.0</v>
      </c>
      <c r="D259" s="14" t="s">
        <v>129</v>
      </c>
      <c r="E259" s="70" t="s">
        <v>137</v>
      </c>
      <c r="F259" s="27" t="str">
        <f>IFERROR(__xludf.DUMMYFUNCTION("REGEXREPLACE($A259, ""(?i)^8301(E000|E100|E200|E300)?"", """")"),"E91100010F5B5B5BF01834374894D13D050AB0")</f>
        <v>E91100010F5B5B5BF01834374894D13D050AB0</v>
      </c>
    </row>
    <row r="260">
      <c r="A260" s="29" t="s">
        <v>393</v>
      </c>
      <c r="B260" s="22" t="str">
        <f>IFERROR(__xludf.DUMMYFUNCTION("LEFT(REGEXREPLACE($A260, ""(?i)^8301(E000|E100|E200|E300)?"", """"), 4)"),"E911")</f>
        <v>E911</v>
      </c>
      <c r="C260" s="24">
        <v>46240.0</v>
      </c>
      <c r="D260" s="14" t="s">
        <v>129</v>
      </c>
      <c r="E260" s="70" t="s">
        <v>137</v>
      </c>
      <c r="F260" s="27" t="str">
        <f>IFERROR(__xludf.DUMMYFUNCTION("REGEXREPLACE($A260, ""(?i)^8301(E000|E100|E200|E300)?"", """")"),"E91100020F5D555BF03134374894D13D0507B0")</f>
        <v>E91100020F5D555BF03134374894D13D0507B0</v>
      </c>
    </row>
    <row r="261">
      <c r="A261" s="29" t="s">
        <v>394</v>
      </c>
      <c r="B261" s="22" t="str">
        <f>IFERROR(__xludf.DUMMYFUNCTION("LEFT(REGEXREPLACE($A261, ""(?i)^8301(E000|E100|E200|E300)?"", """"), 4)"),"E911")</f>
        <v>E911</v>
      </c>
      <c r="C261" s="24">
        <v>46240.0</v>
      </c>
      <c r="D261" s="14" t="s">
        <v>129</v>
      </c>
      <c r="E261" s="70" t="s">
        <v>137</v>
      </c>
      <c r="F261" s="27" t="str">
        <f>IFERROR(__xludf.DUMMYFUNCTION("REGEXREPLACE($A261, ""(?i)^8301(E000|E100|E200|E300)?"", """")"),"E911000A0F55555BF03134374894D13D0507B0")</f>
        <v>E911000A0F55555BF03134374894D13D0507B0</v>
      </c>
    </row>
    <row r="262">
      <c r="A262" s="29" t="s">
        <v>395</v>
      </c>
      <c r="B262" s="22" t="str">
        <f>IFERROR(__xludf.DUMMYFUNCTION("LEFT(REGEXREPLACE($A262, ""(?i)^8301(E000|E100|E200|E300)?"", """"), 4)"),"E911")</f>
        <v>E911</v>
      </c>
      <c r="C262" s="24">
        <v>46240.0</v>
      </c>
      <c r="D262" s="14" t="s">
        <v>129</v>
      </c>
      <c r="E262" s="70" t="s">
        <v>137</v>
      </c>
      <c r="F262" s="27" t="str">
        <f>IFERROR(__xludf.DUMMYFUNCTION("REGEXREPLACE($A262, ""(?i)^8301(E000|E100|E200|E300)?"", """")"),"E911000C0F55555BF01820374894D13D050BB0")</f>
        <v>E911000C0F55555BF01820374894D13D050BB0</v>
      </c>
    </row>
    <row r="263">
      <c r="A263" s="29" t="s">
        <v>396</v>
      </c>
      <c r="B263" s="22" t="str">
        <f>IFERROR(__xludf.DUMMYFUNCTION("LEFT(REGEXREPLACE($A263, ""(?i)^8301(E000|E100|E200|E300)?"", """"), 4)"),"E911")</f>
        <v>E911</v>
      </c>
      <c r="C263" s="30">
        <v>46235.0</v>
      </c>
      <c r="D263" s="76" t="s">
        <v>75</v>
      </c>
      <c r="E263" s="70" t="s">
        <v>120</v>
      </c>
      <c r="F263" s="27" t="str">
        <f>IFERROR(__xludf.DUMMYFUNCTION("REGEXREPLACE($A263, ""(?i)^8301(E000|E100|E200|E300)?"", """")"),"E911000F0F444F58F44882D146060AD06543B0")</f>
        <v>E911000F0F444F58F44882D146060AD06543B0</v>
      </c>
    </row>
    <row r="264">
      <c r="A264" s="29" t="s">
        <v>398</v>
      </c>
      <c r="B264" s="22" t="str">
        <f>IFERROR(__xludf.DUMMYFUNCTION("LEFT(REGEXREPLACE($A264, ""(?i)^8301(E000|E100|E200|E300)?"", """"), 4)"),"E911")</f>
        <v>E911</v>
      </c>
      <c r="C264" s="30">
        <v>46235.0</v>
      </c>
      <c r="D264" s="31" t="s">
        <v>75</v>
      </c>
      <c r="E264" s="31" t="s">
        <v>76</v>
      </c>
      <c r="F264" s="27" t="str">
        <f>IFERROR(__xludf.DUMMYFUNCTION("REGEXREPLACE($A264, ""(?i)^8301(E000|E100|E200|E300)?"", """")"),"E911004F0F515558F44882D146023ED06505B0")</f>
        <v>E911004F0F515558F44882D146023ED06505B0</v>
      </c>
    </row>
    <row r="265">
      <c r="A265" s="29" t="s">
        <v>400</v>
      </c>
      <c r="B265" s="22" t="str">
        <f>IFERROR(__xludf.DUMMYFUNCTION("LEFT(REGEXREPLACE($A265, ""(?i)^8301(E000|E100|E200|E300)?"", """"), 4)"),"E911")</f>
        <v>E911</v>
      </c>
      <c r="C265" s="24">
        <v>46240.0</v>
      </c>
      <c r="D265" s="14" t="s">
        <v>129</v>
      </c>
      <c r="E265" s="70" t="s">
        <v>137</v>
      </c>
      <c r="F265" s="27" t="str">
        <f>IFERROR(__xludf.DUMMYFUNCTION("REGEXREPLACE($A265, ""(?i)^8301(E000|E100|E200|E300)?"", """")"),"E91100540F534D58F44882D146050FD06500B0")</f>
        <v>E91100540F534D58F44882D146050FD06500B0</v>
      </c>
    </row>
    <row r="266">
      <c r="A266" s="29" t="s">
        <v>401</v>
      </c>
      <c r="B266" s="22" t="str">
        <f>IFERROR(__xludf.DUMMYFUNCTION("LEFT(REGEXREPLACE($A266, ""(?i)^8301(E000|E100|E200|E300)?"", """"), 4)"),"E911")</f>
        <v>E911</v>
      </c>
      <c r="C266" s="24">
        <v>46240.0</v>
      </c>
      <c r="D266" s="14" t="s">
        <v>129</v>
      </c>
      <c r="E266" s="70" t="s">
        <v>137</v>
      </c>
      <c r="F266" s="27" t="str">
        <f>IFERROR(__xludf.DUMMYFUNCTION("REGEXREPLACE($A266, ""(?i)^8301(E000|E100|E200|E300)?"", """")"),"E91100680F534D58F44882D146050FD06500BA")</f>
        <v>E91100680F534D58F44882D146050FD06500BA</v>
      </c>
    </row>
    <row r="267">
      <c r="A267" s="29" t="s">
        <v>402</v>
      </c>
      <c r="B267" s="22" t="str">
        <f>IFERROR(__xludf.DUMMYFUNCTION("LEFT(REGEXREPLACE($A267, ""(?i)^8301(E000|E100|E200|E300)?"", """"), 4)"),"E911")</f>
        <v>E911</v>
      </c>
      <c r="C267" s="30">
        <v>46235.0</v>
      </c>
      <c r="D267" s="31" t="s">
        <v>75</v>
      </c>
      <c r="E267" s="31" t="s">
        <v>76</v>
      </c>
      <c r="F267" s="27" t="str">
        <f>IFERROR(__xludf.DUMMYFUNCTION("REGEXREPLACE($A267, ""(?i)^8301(E000|E100|E200|E300)?"", """")"),"E911008F0F5B5D58F44882D146052BD06538B0")</f>
        <v>E911008F0F5B5D58F44882D146052BD06538B0</v>
      </c>
    </row>
    <row r="268">
      <c r="A268" s="29" t="s">
        <v>403</v>
      </c>
      <c r="B268" s="22" t="str">
        <f>IFERROR(__xludf.DUMMYFUNCTION("LEFT(REGEXREPLACE($A268, ""(?i)^8301(E000|E100|E200|E300)?"", """"), 4)"),"E911")</f>
        <v>E911</v>
      </c>
      <c r="C268" s="30">
        <v>46235.0</v>
      </c>
      <c r="D268" s="31" t="s">
        <v>75</v>
      </c>
      <c r="E268" s="31" t="s">
        <v>76</v>
      </c>
      <c r="F268" s="27" t="str">
        <f>IFERROR(__xludf.DUMMYFUNCTION("REGEXREPLACE($A268, ""(?i)^8301(E000|E100|E200|E300)?"", """")"),"E911009F0F5B5D58F44882D146052BD06538B0")</f>
        <v>E911009F0F5B5D58F44882D146052BD06538B0</v>
      </c>
    </row>
    <row r="269" hidden="1">
      <c r="A269" s="18" t="s">
        <v>404</v>
      </c>
      <c r="B269" s="22" t="str">
        <f>IFERROR(__xludf.DUMMYFUNCTION("LEFT(REGEXREPLACE($A269, ""(?i)^8301(E000|E100|E200|E300)?"", """"), 4)"),"E912")</f>
        <v>E912</v>
      </c>
      <c r="C269" s="24">
        <v>46220.0</v>
      </c>
      <c r="D269" s="14" t="s">
        <v>106</v>
      </c>
      <c r="E269" s="14" t="s">
        <v>107</v>
      </c>
      <c r="F269" s="27" t="str">
        <f>IFERROR(__xludf.DUMMYFUNCTION("REGEXREPLACE($A269, ""(?i)^8301(E000|E100|E200|E300)?"", """")"),"E91200010FBDBCBCBCBC7AEC5C982915291548AB")</f>
        <v>E91200010FBDBCBCBCBC7AEC5C982915291548AB</v>
      </c>
    </row>
    <row r="270" hidden="1">
      <c r="A270" s="18" t="s">
        <v>405</v>
      </c>
      <c r="B270" s="22" t="str">
        <f>IFERROR(__xludf.DUMMYFUNCTION("LEFT(REGEXREPLACE($A270, ""(?i)^8301(E000|E100|E200|E300)?"", """"), 4)"),"E912")</f>
        <v>E912</v>
      </c>
      <c r="C270" s="24">
        <v>46220.0</v>
      </c>
      <c r="D270" s="14" t="s">
        <v>106</v>
      </c>
      <c r="E270" s="14" t="s">
        <v>107</v>
      </c>
      <c r="F270" s="27" t="str">
        <f>IFERROR(__xludf.DUMMYFUNCTION("REGEXREPLACE($A270, ""(?i)^8301(E000|E100|E200|E300)?"", """")"),"E91200110FBDB9B9B9B97AEC5C982915291548AB")</f>
        <v>E91200110FBDB9B9B9B97AEC5C982915291548AB</v>
      </c>
    </row>
    <row r="271">
      <c r="A271" s="29" t="s">
        <v>406</v>
      </c>
      <c r="B271" s="22" t="str">
        <f>IFERROR(__xludf.DUMMYFUNCTION("LEFT(REGEXREPLACE($A271, ""(?i)^8301(E000|E100|E200|E300)?"", """"), 4)"),"E912")</f>
        <v>E912</v>
      </c>
      <c r="C271" s="24">
        <v>46240.0</v>
      </c>
      <c r="D271" s="14" t="s">
        <v>129</v>
      </c>
      <c r="E271" s="70" t="s">
        <v>137</v>
      </c>
      <c r="F271" s="27" t="str">
        <f>IFERROR(__xludf.DUMMYFUNCTION("REGEXREPLACE($A271, ""(?i)^8301(E000|E100|E200|E300)?"", """")"),"E91200114896D00E8BD04D83D037F0D13D0504B0")</f>
        <v>E91200114896D00E8BD04D83D037F0D13D0504B0</v>
      </c>
    </row>
    <row r="272">
      <c r="A272" s="18" t="s">
        <v>407</v>
      </c>
      <c r="B272" s="22" t="str">
        <f>IFERROR(__xludf.DUMMYFUNCTION("LEFT(REGEXREPLACE($A272, ""(?i)^8301(E000|E100|E200|E300)?"", """"), 4)"),"E912")</f>
        <v>E912</v>
      </c>
      <c r="C272" s="24">
        <v>46208.0</v>
      </c>
      <c r="D272" s="14" t="s">
        <v>75</v>
      </c>
      <c r="E272" s="14" t="s">
        <v>143</v>
      </c>
      <c r="F272" s="27" t="str">
        <f>IFERROR(__xludf.DUMMYFUNCTION("REGEXREPLACE($A272, ""(?i)^8301(E000|E100|E200|E300)?"", """")"),"E91200184896D00E86D04D83D037F0D13D050AB0")</f>
        <v>E91200184896D00E86D04D83D037F0D13D050AB0</v>
      </c>
    </row>
    <row r="273">
      <c r="A273" s="18" t="s">
        <v>253</v>
      </c>
      <c r="B273" s="22" t="str">
        <f>IFERROR(__xludf.DUMMYFUNCTION("LEFT(REGEXREPLACE($A273, ""(?i)^8301(E000|E100|E200|E300)?"", """"), 4)"),"E912")</f>
        <v>E912</v>
      </c>
      <c r="C273" s="24">
        <v>46228.0</v>
      </c>
      <c r="D273" s="14" t="s">
        <v>75</v>
      </c>
      <c r="E273" s="14" t="s">
        <v>76</v>
      </c>
      <c r="F273" s="27" t="str">
        <f>IFERROR(__xludf.DUMMYFUNCTION("REGEXREPLACE($A273, ""(?i)^8301(E000|E100|E200|E300)?"", """")"),"E912001F0FBDBDBDBCBC30D037F4D246000064B0")</f>
        <v>E912001F0FBDBDBDBCBC30D037F4D246000064B0</v>
      </c>
    </row>
    <row r="274">
      <c r="A274" s="29" t="s">
        <v>294</v>
      </c>
      <c r="B274" s="22" t="str">
        <f>IFERROR(__xludf.DUMMYFUNCTION("LEFT(REGEXREPLACE($A274, ""(?i)^8301(E000|E100|E200|E300)?"", """"), 4)"),"E912")</f>
        <v>E912</v>
      </c>
      <c r="C274" s="24">
        <v>46207.0</v>
      </c>
      <c r="D274" s="14" t="s">
        <v>129</v>
      </c>
      <c r="E274" s="14" t="s">
        <v>137</v>
      </c>
      <c r="F274" s="27" t="str">
        <f>IFERROR(__xludf.DUMMYFUNCTION("REGEXREPLACE($A274, ""(?i)^8301(E000|E100|E200|E300)?"", """")"),"E91200480FBBB5A4B5A430D037F4D246001340B0")</f>
        <v>E91200480FBBB5A4B5A430D037F4D246001340B0</v>
      </c>
    </row>
    <row r="275">
      <c r="A275" s="29" t="s">
        <v>152</v>
      </c>
      <c r="B275" s="22" t="str">
        <f>IFERROR(__xludf.DUMMYFUNCTION("LEFT(REGEXREPLACE($A275, ""(?i)^8301(E000|E100|E200|E300)?"", """"), 4)"),"E912")</f>
        <v>E912</v>
      </c>
      <c r="C275" s="24">
        <v>46240.0</v>
      </c>
      <c r="D275" s="14" t="s">
        <v>129</v>
      </c>
      <c r="E275" s="70" t="s">
        <v>137</v>
      </c>
      <c r="F275" s="27" t="str">
        <f>IFERROR(__xludf.DUMMYFUNCTION("REGEXREPLACE($A275, ""(?i)^8301(E000|E100|E200|E300)?"", """")"),"E91200A329040E160F044897D00EFFD1460625B0")</f>
        <v>E91200A329040E160F044897D00EFFD1460625B0</v>
      </c>
    </row>
    <row r="276">
      <c r="A276" s="18" t="s">
        <v>280</v>
      </c>
      <c r="B276" s="22" t="str">
        <f>IFERROR(__xludf.DUMMYFUNCTION("LEFT(REGEXREPLACE($A276, ""(?i)^8301(E000|E100|E200|E300)?"", """"), 4)"),"E912")</f>
        <v>E912</v>
      </c>
      <c r="C276" s="24">
        <v>46208.0</v>
      </c>
      <c r="D276" s="14" t="s">
        <v>75</v>
      </c>
      <c r="E276" s="14" t="s">
        <v>76</v>
      </c>
      <c r="F276" s="27" t="str">
        <f>IFERROR(__xludf.DUMMYFUNCTION("REGEXREPLACE($A276, ""(?i)^8301(E000|E100|E200|E300)?"", """")"),"E91200C30FB1A4B5B5A430D037F4D246000CFCB0")</f>
        <v>E91200C30FB1A4B5B5A430D037F4D246000CFCB0</v>
      </c>
    </row>
    <row r="277">
      <c r="A277" s="18" t="s">
        <v>408</v>
      </c>
      <c r="B277" s="22" t="str">
        <f>IFERROR(__xludf.DUMMYFUNCTION("LEFT(REGEXREPLACE($A277, ""(?i)^8301(E000|E100|E200|E300)?"", """"), 4)"),"E912")</f>
        <v>E912</v>
      </c>
      <c r="C277" s="24">
        <v>46219.0</v>
      </c>
      <c r="D277" s="14" t="s">
        <v>75</v>
      </c>
      <c r="E277" s="14" t="s">
        <v>76</v>
      </c>
      <c r="F277" s="27" t="str">
        <f>IFERROR(__xludf.DUMMYFUNCTION("REGEXREPLACE($A277, ""(?i)^8301(E000|E100|E200|E300)?"", """")"),"E91200C30FBCBCBDBCBD30D037F4D246000CFCB0")</f>
        <v>E91200C30FBCBCBDBCBD30D037F4D246000CFCB0</v>
      </c>
    </row>
    <row r="278">
      <c r="A278" s="18" t="s">
        <v>409</v>
      </c>
      <c r="B278" s="22" t="str">
        <f>IFERROR(__xludf.DUMMYFUNCTION("LEFT(REGEXREPLACE($A278, ""(?i)^8301(E000|E100|E200|E300)?"", """"), 4)"),"E912")</f>
        <v>E912</v>
      </c>
      <c r="C278" s="24">
        <v>46219.0</v>
      </c>
      <c r="D278" s="14" t="s">
        <v>75</v>
      </c>
      <c r="E278" s="14" t="s">
        <v>76</v>
      </c>
      <c r="F278" s="27" t="str">
        <f>IFERROR(__xludf.DUMMYFUNCTION("REGEXREPLACE($A278, ""(?i)^8301(E000|E100|E200|E300)?"", """")"),"E91200CF0FBCA4BCA4BC30D037F4D246001978B0")</f>
        <v>E91200CF0FBCA4BCA4BC30D037F4D246001978B0</v>
      </c>
    </row>
    <row r="279">
      <c r="A279" s="18" t="s">
        <v>341</v>
      </c>
      <c r="B279" s="22" t="str">
        <f>IFERROR(__xludf.DUMMYFUNCTION("LEFT(REGEXREPLACE($A279, ""(?i)^8301(E000|E100|E200|E300)?"", """"), 4)"),"E912")</f>
        <v>E912</v>
      </c>
      <c r="C279" s="24">
        <v>46219.0</v>
      </c>
      <c r="D279" s="14" t="s">
        <v>75</v>
      </c>
      <c r="E279" s="14" t="s">
        <v>76</v>
      </c>
      <c r="F279" s="27" t="str">
        <f>IFERROR(__xludf.DUMMYFUNCTION("REGEXREPLACE($A279, ""(?i)^8301(E000|E100|E200|E300)?"", """")"),"E91200D20FA4B9A8AFB530D037F4D2460064FCB0")</f>
        <v>E91200D20FA4B9A8AFB530D037F4D2460064FCB0</v>
      </c>
    </row>
    <row r="280">
      <c r="A280" s="29" t="s">
        <v>411</v>
      </c>
      <c r="B280" s="22" t="str">
        <f>IFERROR(__xludf.DUMMYFUNCTION("LEFT(REGEXREPLACE($A280, ""(?i)^8301(E000|E100|E200|E300)?"", """"), 4)"),"E912")</f>
        <v>E912</v>
      </c>
      <c r="C280" s="30">
        <v>46235.0</v>
      </c>
      <c r="D280" s="31" t="s">
        <v>75</v>
      </c>
      <c r="E280" s="31" t="s">
        <v>76</v>
      </c>
      <c r="F280" s="27" t="str">
        <f>IFERROR(__xludf.DUMMYFUNCTION("REGEXREPLACE($A280, ""(?i)^8301(E000|E100|E200|E300)?"", """")"),"E91200D30FB5B2A3AEB930D037F4D2460000FCB0")</f>
        <v>E91200D30FB5B2A3AEB930D037F4D2460000FCB0</v>
      </c>
    </row>
    <row r="281">
      <c r="A281" s="29" t="s">
        <v>412</v>
      </c>
      <c r="B281" s="22" t="str">
        <f>IFERROR(__xludf.DUMMYFUNCTION("LEFT(REGEXREPLACE($A281, ""(?i)^8301(E000|E100|E200|E300)?"", """"), 4)"),"E912")</f>
        <v>E912</v>
      </c>
      <c r="C281" s="24">
        <v>46240.0</v>
      </c>
      <c r="D281" s="14" t="s">
        <v>129</v>
      </c>
      <c r="E281" s="70" t="s">
        <v>137</v>
      </c>
      <c r="F281" s="27" t="str">
        <f>IFERROR(__xludf.DUMMYFUNCTION("REGEXREPLACE($A281, ""(?i)^8301(E000|E100|E200|E300)?"", """")"),"E91200114896D00E8BD04D83D037F0D13D0504B0")</f>
        <v>E91200114896D00E8BD04D83D037F0D13D0504B0</v>
      </c>
    </row>
    <row r="282">
      <c r="A282" s="29" t="s">
        <v>357</v>
      </c>
      <c r="B282" s="22" t="str">
        <f>IFERROR(__xludf.DUMMYFUNCTION("LEFT(REGEXREPLACE($A282, ""(?i)^8301(E000|E100|E200|E300)?"", """"), 4)"),"E912")</f>
        <v>E912</v>
      </c>
      <c r="C282" s="30">
        <v>46235.0</v>
      </c>
      <c r="D282" s="31" t="s">
        <v>75</v>
      </c>
      <c r="E282" s="31" t="s">
        <v>76</v>
      </c>
      <c r="F282" s="27" t="str">
        <f>IFERROR(__xludf.DUMMYFUNCTION("REGEXREPLACE($A282, ""(?i)^8301(E000|E100|E200|E300)?"", """")"),"E91200C30FB6B9B6B6B930D037F4D24600FCFCB0")</f>
        <v>E91200C30FB6B9B6B6B930D037F4D24600FCFCB0</v>
      </c>
    </row>
    <row r="283">
      <c r="A283" s="29" t="s">
        <v>413</v>
      </c>
      <c r="B283" s="22" t="str">
        <f>IFERROR(__xludf.DUMMYFUNCTION("LEFT(REGEXREPLACE($A283, ""(?i)^8301(E000|E100|E200|E300)?"", """"), 4)"),"E912")</f>
        <v>E912</v>
      </c>
      <c r="C283" s="30">
        <v>46235.0</v>
      </c>
      <c r="D283" s="31" t="s">
        <v>75</v>
      </c>
      <c r="E283" s="31" t="s">
        <v>76</v>
      </c>
      <c r="F283" s="27" t="str">
        <f>IFERROR(__xludf.DUMMYFUNCTION("REGEXREPLACE($A283, ""(?i)^8301(E000|E100|E200|E300)?"", """")"),"E91200D30FB5B2A3AEB930D037F4D2460000FCB0")</f>
        <v>E91200D30FB5B2A3AEB930D037F4D2460000FCB0</v>
      </c>
    </row>
    <row r="284">
      <c r="A284" s="29" t="s">
        <v>268</v>
      </c>
      <c r="B284" s="22" t="str">
        <f>IFERROR(__xludf.DUMMYFUNCTION("LEFT(REGEXREPLACE($A284, ""(?i)^8301(E000|E100|E200|E300)?"", """"), 4)"),"E912")</f>
        <v>E912</v>
      </c>
      <c r="C284" s="24">
        <v>46240.0</v>
      </c>
      <c r="D284" s="14" t="s">
        <v>129</v>
      </c>
      <c r="E284" s="31" t="s">
        <v>130</v>
      </c>
      <c r="F284" s="27" t="str">
        <f>IFERROR(__xludf.DUMMYFUNCTION("REGEXREPLACE($A284, ""(?i)^8301(E000|E100|E200|E300)?"", """")"),"E91200010FBCBDBDBDBD30D037F4D2460000FCBB")</f>
        <v>E91200010FBCBDBDBDBD30D037F4D2460000FCBB</v>
      </c>
    </row>
    <row r="285" hidden="1">
      <c r="A285" s="18" t="s">
        <v>326</v>
      </c>
      <c r="B285" s="22" t="str">
        <f>IFERROR(__xludf.DUMMYFUNCTION("LEFT(REGEXREPLACE($A285, ""(?i)^8301(E000|E100|E200|E300)?"", """"), 4)"),"E913")</f>
        <v>E913</v>
      </c>
      <c r="C285" s="24">
        <v>46220.0</v>
      </c>
      <c r="D285" s="14" t="s">
        <v>106</v>
      </c>
      <c r="E285" s="14" t="s">
        <v>107</v>
      </c>
      <c r="F285" s="27" t="str">
        <f>IFERROR(__xludf.DUMMYFUNCTION("REGEXREPLACE($A285, ""(?i)^8301(E000|E100|E200|E300)?"", """")"),"E91300080F5D5C58F44882D065FCD14602FA307B00")</f>
        <v>E91300080F5D5C58F44882D065FCD14602FA307B00</v>
      </c>
    </row>
    <row r="286">
      <c r="A286" s="18" t="s">
        <v>414</v>
      </c>
      <c r="B286" s="22" t="str">
        <f>IFERROR(__xludf.DUMMYFUNCTION("LEFT(REGEXREPLACE($A286, ""(?i)^8301(E000|E100|E200|E300)?"", """"), 4)"),"E913")</f>
        <v>E913</v>
      </c>
      <c r="C286" s="24">
        <v>46219.0</v>
      </c>
      <c r="D286" s="14" t="s">
        <v>75</v>
      </c>
      <c r="E286" s="14" t="s">
        <v>120</v>
      </c>
      <c r="F286" s="27" t="str">
        <f>IFERROR(__xludf.DUMMYFUNCTION("REGEXREPLACE($A286, ""(?i)^8301(E000|E100|E200|E300)?"", """")"),"E913000F0FBDA4A4A4A47AEC5C022915291548ABB0")</f>
        <v>E913000F0FBDA4A4A4A47AEC5C022915291548ABB0</v>
      </c>
    </row>
    <row r="287" hidden="1">
      <c r="A287" s="18" t="s">
        <v>415</v>
      </c>
      <c r="B287" s="22" t="str">
        <f>IFERROR(__xludf.DUMMYFUNCTION("LEFT(REGEXREPLACE($A287, ""(?i)^8301(E000|E100|E200|E300)?"", """"), 4)"),"E913")</f>
        <v>E913</v>
      </c>
      <c r="C287" s="24">
        <v>46220.0</v>
      </c>
      <c r="D287" s="14" t="s">
        <v>106</v>
      </c>
      <c r="E287" s="14" t="s">
        <v>175</v>
      </c>
      <c r="F287" s="27" t="str">
        <f>IFERROR(__xludf.DUMMYFUNCTION("REGEXREPLACE($A287, ""(?i)^8301(E000|E100|E200|E300)?"", """")"),"E91300420FBDB5AFB5AF7AEC5C0A2915291548ABB0")</f>
        <v>E91300420FBDB5AFB5AF7AEC5C0A2915291548ABB0</v>
      </c>
    </row>
    <row r="288">
      <c r="A288" s="18" t="s">
        <v>416</v>
      </c>
      <c r="B288" s="22" t="str">
        <f>IFERROR(__xludf.DUMMYFUNCTION("LEFT(REGEXREPLACE($A288, ""(?i)^8301(E000|E100|E200|E300)?"", """"), 4)"),"E913")</f>
        <v>E913</v>
      </c>
      <c r="C288" s="24">
        <v>46228.0</v>
      </c>
      <c r="D288" s="14" t="s">
        <v>75</v>
      </c>
      <c r="E288" s="14" t="s">
        <v>120</v>
      </c>
      <c r="F288" s="27" t="str">
        <f>IFERROR(__xludf.DUMMYFUNCTION("REGEXREPLACE($A288, ""(?i)^8301(E000|E100|E200|E300)?"", """")"),"E91300440FBDB1ADB1AD7AEC5C062915291548ABB0")</f>
        <v>E91300440FBDB1ADB1AD7AEC5C062915291548ABB0</v>
      </c>
    </row>
    <row r="289" hidden="1">
      <c r="A289" s="18" t="s">
        <v>417</v>
      </c>
      <c r="B289" s="22" t="str">
        <f>IFERROR(__xludf.DUMMYFUNCTION("LEFT(REGEXREPLACE($A289, ""(?i)^8301(E000|E100|E200|E300)?"", """"), 4)"),"E913")</f>
        <v>E913</v>
      </c>
      <c r="C289" s="24">
        <v>46220.0</v>
      </c>
      <c r="D289" s="14" t="s">
        <v>106</v>
      </c>
      <c r="E289" s="14" t="s">
        <v>107</v>
      </c>
      <c r="F289" s="27" t="str">
        <f>IFERROR(__xludf.DUMMYFUNCTION("REGEXREPLACE($A289, ""(?i)^8301(E000|E100|E200|E300)?"", """")"),"E9130044D037F0D23D0507000EF58983510EF50C46")</f>
        <v>E9130044D037F0D23D0507000EF58983510EF50C46</v>
      </c>
    </row>
    <row r="290" hidden="1">
      <c r="A290" s="18" t="s">
        <v>346</v>
      </c>
      <c r="B290" s="22" t="str">
        <f>IFERROR(__xludf.DUMMYFUNCTION("LEFT(REGEXREPLACE($A290, ""(?i)^8301(E000|E100|E200|E300)?"", """"), 4)"),"E913")</f>
        <v>E913</v>
      </c>
      <c r="C290" s="24">
        <v>46220.0</v>
      </c>
      <c r="D290" s="14" t="s">
        <v>106</v>
      </c>
      <c r="E290" s="14" t="s">
        <v>107</v>
      </c>
      <c r="F290" s="27" t="str">
        <f>IFERROR(__xludf.DUMMYFUNCTION("REGEXREPLACE($A290, ""(?i)^8301(E000|E100|E200|E300)?"", """")"),"E91300520F5D4458F44882D0650AD14602C8307B00")</f>
        <v>E91300520F5D4458F44882D0650AD14602C8307B00</v>
      </c>
    </row>
    <row r="291" hidden="1">
      <c r="A291" s="18" t="s">
        <v>418</v>
      </c>
      <c r="B291" s="22" t="str">
        <f>IFERROR(__xludf.DUMMYFUNCTION("LEFT(REGEXREPLACE($A291, ""(?i)^8301(E000|E100|E200|E300)?"", """"), 4)"),"E913")</f>
        <v>E913</v>
      </c>
      <c r="C291" s="24">
        <v>46220.0</v>
      </c>
      <c r="D291" s="14" t="s">
        <v>106</v>
      </c>
      <c r="E291" s="14" t="s">
        <v>107</v>
      </c>
      <c r="F291" s="27" t="str">
        <f>IFERROR(__xludf.DUMMYFUNCTION("REGEXREPLACE($A291, ""(?i)^8301(E000|E100|E200|E300)?"", """")"),"E913005F0F445C58F44882D06535D1462A01307BA1")</f>
        <v>E913005F0F445C58F44882D06535D1462A01307BA1</v>
      </c>
    </row>
    <row r="292" hidden="1">
      <c r="A292" s="18" t="s">
        <v>419</v>
      </c>
      <c r="B292" s="22" t="str">
        <f>IFERROR(__xludf.DUMMYFUNCTION("LEFT(REGEXREPLACE($A292, ""(?i)^8301(E000|E100|E200|E300)?"", """"), 4)"),"E913")</f>
        <v>E913</v>
      </c>
      <c r="C292" s="24">
        <v>46220.0</v>
      </c>
      <c r="D292" s="14" t="s">
        <v>106</v>
      </c>
      <c r="E292" s="14" t="s">
        <v>107</v>
      </c>
      <c r="F292" s="27" t="str">
        <f>IFERROR(__xludf.DUMMYFUNCTION("REGEXREPLACE($A292, ""(?i)^8301(E000|E100|E200|E300)?"", """")"),"E913005F0F445C58F44882D06535D1462A85307BA1")</f>
        <v>E913005F0F445C58F44882D06535D1462A85307BA1</v>
      </c>
    </row>
    <row r="293" hidden="1">
      <c r="A293" s="18" t="s">
        <v>420</v>
      </c>
      <c r="B293" s="22" t="str">
        <f>IFERROR(__xludf.DUMMYFUNCTION("LEFT(REGEXREPLACE($A293, ""(?i)^8301(E000|E100|E200|E300)?"", """"), 4)"),"E913")</f>
        <v>E913</v>
      </c>
      <c r="C293" s="24">
        <v>46220.0</v>
      </c>
      <c r="D293" s="14" t="s">
        <v>106</v>
      </c>
      <c r="E293" s="14" t="s">
        <v>107</v>
      </c>
      <c r="F293" s="27" t="str">
        <f>IFERROR(__xludf.DUMMYFUNCTION("REGEXREPLACE($A293, ""(?i)^8301(E000|E100|E200|E300)?"", """")"),"E913005F0F5D4F58F44882D06535D1460A01307BA1")</f>
        <v>E913005F0F5D4F58F44882D06535D1460A01307BA1</v>
      </c>
    </row>
    <row r="294" hidden="1">
      <c r="A294" s="18" t="s">
        <v>421</v>
      </c>
      <c r="B294" s="22" t="str">
        <f>IFERROR(__xludf.DUMMYFUNCTION("LEFT(REGEXREPLACE($A294, ""(?i)^8301(E000|E100|E200|E300)?"", """"), 4)"),"E913")</f>
        <v>E913</v>
      </c>
      <c r="C294" s="24">
        <v>46220.0</v>
      </c>
      <c r="D294" s="14" t="s">
        <v>106</v>
      </c>
      <c r="E294" s="14" t="s">
        <v>107</v>
      </c>
      <c r="F294" s="27" t="str">
        <f>IFERROR(__xludf.DUMMYFUNCTION("REGEXREPLACE($A294, ""(?i)^8301(E000|E100|E200|E300)?"", """")"),"E913006B0F435658F44882D0650AD14602C8307B00")</f>
        <v>E913006B0F435658F44882D0650AD14602C8307B00</v>
      </c>
    </row>
    <row r="295" hidden="1">
      <c r="A295" s="18" t="s">
        <v>422</v>
      </c>
      <c r="B295" s="22" t="str">
        <f>IFERROR(__xludf.DUMMYFUNCTION("LEFT(REGEXREPLACE($A295, ""(?i)^8301(E000|E100|E200|E300)?"", """"), 4)"),"E913")</f>
        <v>E913</v>
      </c>
      <c r="C295" s="24">
        <v>46220.0</v>
      </c>
      <c r="D295" s="14" t="s">
        <v>106</v>
      </c>
      <c r="E295" s="14" t="s">
        <v>175</v>
      </c>
      <c r="F295" s="27" t="str">
        <f>IFERROR(__xludf.DUMMYFUNCTION("REGEXREPLACE($A295, ""(?i)^8301(E000|E100|E200|E300)?"", """")"),"E913006D0FBDA0B6A0B67AEC5C0A2915291548ABB0")</f>
        <v>E913006D0FBDA0B6A0B67AEC5C0A2915291548ABB0</v>
      </c>
    </row>
    <row r="296" hidden="1">
      <c r="A296" s="18" t="s">
        <v>423</v>
      </c>
      <c r="B296" s="22" t="str">
        <f>IFERROR(__xludf.DUMMYFUNCTION("LEFT(REGEXREPLACE($A296, ""(?i)^8301(E000|E100|E200|E300)?"", """"), 4)"),"E913")</f>
        <v>E913</v>
      </c>
      <c r="C296" s="24">
        <v>46220.0</v>
      </c>
      <c r="D296" s="14" t="s">
        <v>106</v>
      </c>
      <c r="E296" s="14" t="s">
        <v>107</v>
      </c>
      <c r="F296" s="27" t="str">
        <f>IFERROR(__xludf.DUMMYFUNCTION("REGEXREPLACE($A296, ""(?i)^8301(E000|E100|E200|E300)?"", """")"),"E91300770F5C5D58F44882D0650AD14602C8307B00")</f>
        <v>E91300770F5C5D58F44882D0650AD14602C8307B00</v>
      </c>
    </row>
    <row r="297" hidden="1">
      <c r="A297" s="18" t="s">
        <v>424</v>
      </c>
      <c r="B297" s="22" t="str">
        <f>IFERROR(__xludf.DUMMYFUNCTION("LEFT(REGEXREPLACE($A297, ""(?i)^8301(E000|E100|E200|E300)?"", """"), 4)"),"E913")</f>
        <v>E913</v>
      </c>
      <c r="C297" s="24">
        <v>46220.0</v>
      </c>
      <c r="D297" s="14" t="s">
        <v>106</v>
      </c>
      <c r="E297" s="14" t="s">
        <v>107</v>
      </c>
      <c r="F297" s="27" t="str">
        <f>IFERROR(__xludf.DUMMYFUNCTION("REGEXREPLACE($A297, ""(?i)^8301(E000|E100|E200|E300)?"", """")"),"E91300770F5D4458F44882D0650AD14602C8307B00")</f>
        <v>E91300770F5D4458F44882D0650AD14602C8307B00</v>
      </c>
    </row>
    <row r="298">
      <c r="A298" s="29" t="s">
        <v>425</v>
      </c>
      <c r="B298" s="22" t="str">
        <f>IFERROR(__xludf.DUMMYFUNCTION("LEFT(REGEXREPLACE($A298, ""(?i)^8301(E000|E100|E200|E300)?"", """"), 4)"),"E913")</f>
        <v>E913</v>
      </c>
      <c r="C298" s="30">
        <v>46235.0</v>
      </c>
      <c r="D298" s="76" t="s">
        <v>75</v>
      </c>
      <c r="E298" s="70" t="s">
        <v>120</v>
      </c>
      <c r="F298" s="27" t="str">
        <f>IFERROR(__xludf.DUMMYFUNCTION("REGEXREPLACE($A298, ""(?i)^8301(E000|E100|E200|E300)?"", """")"),"E913000F0FBDA4A4A4A47AEC5C022915291548ABB0")</f>
        <v>E913000F0FBDA4A4A4A47AEC5C022915291548ABB0</v>
      </c>
    </row>
    <row r="299">
      <c r="A299" s="18" t="s">
        <v>426</v>
      </c>
      <c r="B299" s="22" t="str">
        <f>IFERROR(__xludf.DUMMYFUNCTION("LEFT(REGEXREPLACE($A299, ""(?i)^8301(E000|E100|E200|E300)?"", """"), 4)"),"E914")</f>
        <v>E914</v>
      </c>
      <c r="C299" s="24">
        <v>46228.0</v>
      </c>
      <c r="D299" s="14" t="s">
        <v>75</v>
      </c>
      <c r="E299" s="14" t="s">
        <v>120</v>
      </c>
      <c r="F299" s="27" t="str">
        <f>IFERROR(__xludf.DUMMYFUNCTION("REGEXREPLACE($A299, ""(?i)^8301(E000|E100|E200|E300)?"", """")"),"E91400030F5D5458F44882D0650AD1460228307B00B0")</f>
        <v>E91400030F5D5458F44882D0650AD1460228307B00B0</v>
      </c>
    </row>
    <row r="300">
      <c r="A300" s="18" t="s">
        <v>427</v>
      </c>
      <c r="B300" s="22" t="str">
        <f>IFERROR(__xludf.DUMMYFUNCTION("LEFT(REGEXREPLACE($A300, ""(?i)^8301(E000|E100|E200|E300)?"", """"), 4)"),"E914")</f>
        <v>E914</v>
      </c>
      <c r="C300" s="24">
        <v>46228.0</v>
      </c>
      <c r="D300" s="14" t="s">
        <v>75</v>
      </c>
      <c r="E300" s="14" t="s">
        <v>120</v>
      </c>
      <c r="F300" s="27" t="str">
        <f>IFERROR(__xludf.DUMMYFUNCTION("REGEXREPLACE($A300, ""(?i)^8301(E000|E100|E200|E300)?"", """")"),"E91400060F4D5D58F44882D0651CD14602ED307BFFB0")</f>
        <v>E91400060F4D5D58F44882D0651CD14602ED307BFFB0</v>
      </c>
    </row>
    <row r="301" hidden="1">
      <c r="A301" s="18" t="s">
        <v>428</v>
      </c>
      <c r="B301" s="22" t="str">
        <f>IFERROR(__xludf.DUMMYFUNCTION("LEFT(REGEXREPLACE($A301, ""(?i)^8301(E000|E100|E200|E300)?"", """"), 4)"),"E914")</f>
        <v>E914</v>
      </c>
      <c r="C301" s="24">
        <v>46220.0</v>
      </c>
      <c r="D301" s="14" t="s">
        <v>106</v>
      </c>
      <c r="E301" s="14" t="s">
        <v>175</v>
      </c>
      <c r="F301" s="27" t="str">
        <f>IFERROR(__xludf.DUMMYFUNCTION("REGEXREPLACE($A301, ""(?i)^8301(E000|E100|E200|E300)?"", """")"),"E91400070F564258F44882D06500D146040A307B26B0")</f>
        <v>E91400070F564258F44882D06500D146040A307B26B0</v>
      </c>
    </row>
    <row r="302" hidden="1">
      <c r="A302" s="18" t="s">
        <v>429</v>
      </c>
      <c r="B302" s="22" t="str">
        <f>IFERROR(__xludf.DUMMYFUNCTION("LEFT(REGEXREPLACE($A302, ""(?i)^8301(E000|E100|E200|E300)?"", """"), 4)"),"E914")</f>
        <v>E914</v>
      </c>
      <c r="C302" s="24">
        <v>46220.0</v>
      </c>
      <c r="D302" s="14" t="s">
        <v>106</v>
      </c>
      <c r="E302" s="14" t="s">
        <v>175</v>
      </c>
      <c r="F302" s="27" t="str">
        <f>IFERROR(__xludf.DUMMYFUNCTION("REGEXREPLACE($A302, ""(?i)^8301(E000|E100|E200|E300)?"", """")"),"E91400450F564258F44882D06500D146040A307B26B0")</f>
        <v>E91400450F564258F44882D06500D146040A307B26B0</v>
      </c>
    </row>
    <row r="303" hidden="1">
      <c r="A303" s="18" t="s">
        <v>430</v>
      </c>
      <c r="B303" s="22" t="str">
        <f>IFERROR(__xludf.DUMMYFUNCTION("LEFT(REGEXREPLACE($A303, ""(?i)^8301(E000|E100|E200|E300)?"", """"), 4)"),"E914")</f>
        <v>E914</v>
      </c>
      <c r="C303" s="24">
        <v>46220.0</v>
      </c>
      <c r="D303" s="14" t="s">
        <v>106</v>
      </c>
      <c r="E303" s="14" t="s">
        <v>175</v>
      </c>
      <c r="F303" s="27" t="str">
        <f>IFERROR(__xludf.DUMMYFUNCTION("REGEXREPLACE($A303, ""(?i)^8301(E000|E100|E200|E300)?"", """")"),"E91400470F564258F44882D06500D146040A307B26B0")</f>
        <v>E91400470F564258F44882D06500D146040A307B26B0</v>
      </c>
    </row>
    <row r="304" hidden="1">
      <c r="A304" s="18" t="s">
        <v>431</v>
      </c>
      <c r="B304" s="22" t="str">
        <f>IFERROR(__xludf.DUMMYFUNCTION("LEFT(REGEXREPLACE($A304, ""(?i)^8301(E000|E100|E200|E300)?"", """"), 4)"),"E914")</f>
        <v>E914</v>
      </c>
      <c r="C304" s="24">
        <v>46220.0</v>
      </c>
      <c r="D304" s="14" t="s">
        <v>106</v>
      </c>
      <c r="E304" s="14" t="s">
        <v>175</v>
      </c>
      <c r="F304" s="27" t="str">
        <f>IFERROR(__xludf.DUMMYFUNCTION("REGEXREPLACE($A304, ""(?i)^8301(E000|E100|E200|E300)?"", """")"),"E91400490F564258F44882D06500D146040A307B26B0")</f>
        <v>E91400490F564258F44882D06500D146040A307B26B0</v>
      </c>
    </row>
    <row r="305">
      <c r="A305" s="18" t="s">
        <v>432</v>
      </c>
      <c r="B305" s="22" t="str">
        <f>IFERROR(__xludf.DUMMYFUNCTION("LEFT(REGEXREPLACE($A305, ""(?i)^8301(E000|E100|E200|E300)?"", """"), 4)"),"E914")</f>
        <v>E914</v>
      </c>
      <c r="C305" s="24">
        <v>46219.0</v>
      </c>
      <c r="D305" s="14" t="s">
        <v>75</v>
      </c>
      <c r="E305" s="14" t="s">
        <v>120</v>
      </c>
      <c r="F305" s="27" t="str">
        <f>IFERROR(__xludf.DUMMYFUNCTION("REGEXREPLACE($A305, ""(?i)^8301(E000|E100|E200|E300)?"", """")"),"E914004C0F515D58F44882D06500D14657FF307B00B0")</f>
        <v>E914004C0F515D58F44882D06500D14657FF307B00B0</v>
      </c>
    </row>
    <row r="306">
      <c r="A306" s="29" t="s">
        <v>433</v>
      </c>
      <c r="B306" s="22" t="str">
        <f>IFERROR(__xludf.DUMMYFUNCTION("LEFT(REGEXREPLACE($A306, ""(?i)^8301(E000|E100|E200|E300)?"", """"), 4)"),"E914")</f>
        <v>E914</v>
      </c>
      <c r="C306" s="24">
        <v>46207.0</v>
      </c>
      <c r="D306" s="14" t="s">
        <v>129</v>
      </c>
      <c r="E306" s="14" t="s">
        <v>137</v>
      </c>
      <c r="F306" s="27" t="str">
        <f>IFERROR(__xludf.DUMMYFUNCTION("REGEXREPLACE($A306, ""(?i)^8301(E000|E100|E200|E300)?"", """")"),"E914004FD037F0D23D0213060EF58983510EE40C80BB")</f>
        <v>E914004FD037F0D23D0213060EF58983510EE40C80BB</v>
      </c>
    </row>
    <row r="307">
      <c r="A307" s="18" t="s">
        <v>434</v>
      </c>
      <c r="B307" s="22" t="str">
        <f>IFERROR(__xludf.DUMMYFUNCTION("LEFT(REGEXREPLACE($A307, ""(?i)^8301(E000|E100|E200|E300)?"", """"), 4)"),"E914")</f>
        <v>E914</v>
      </c>
      <c r="C307" s="24">
        <v>46219.0</v>
      </c>
      <c r="D307" s="14" t="s">
        <v>75</v>
      </c>
      <c r="E307" s="14" t="s">
        <v>120</v>
      </c>
      <c r="F307" s="27" t="str">
        <f>IFERROR(__xludf.DUMMYFUNCTION("REGEXREPLACE($A307, ""(?i)^8301(E000|E100|E200|E300)?"", """")"),"E91400680F404358F44882D0653FD1462AF6307BA1B0")</f>
        <v>E91400680F404358F44882D0653FD1462AF6307BA1B0</v>
      </c>
    </row>
    <row r="308">
      <c r="A308" s="29" t="s">
        <v>435</v>
      </c>
      <c r="B308" s="22" t="str">
        <f>IFERROR(__xludf.DUMMYFUNCTION("LEFT(REGEXREPLACE($A308, ""(?i)^8301(E000|E100|E200|E300)?"", """"), 4)"),"E914")</f>
        <v>E914</v>
      </c>
      <c r="C308" s="24">
        <v>46207.0</v>
      </c>
      <c r="D308" s="14" t="s">
        <v>129</v>
      </c>
      <c r="E308" s="14" t="s">
        <v>137</v>
      </c>
      <c r="F308" s="27" t="str">
        <f>IFERROR(__xludf.DUMMYFUNCTION("REGEXREPLACE($A308, ""(?i)^8301(E000|E100|E200|E300)?"", """")"),"E914006AD037F0D23D040F010EED8983510EE70C80B0")</f>
        <v>E914006AD037F0D23D040F010EED8983510EE70C80B0</v>
      </c>
    </row>
    <row r="309">
      <c r="A309" s="18" t="s">
        <v>436</v>
      </c>
      <c r="B309" s="22" t="str">
        <f>IFERROR(__xludf.DUMMYFUNCTION("LEFT(REGEXREPLACE($A309, ""(?i)^8301(E000|E100|E200|E300)?"", """"), 4)"),"E914")</f>
        <v>E914</v>
      </c>
      <c r="C309" s="24">
        <v>46219.0</v>
      </c>
      <c r="D309" s="14" t="s">
        <v>75</v>
      </c>
      <c r="E309" s="14" t="s">
        <v>120</v>
      </c>
      <c r="F309" s="27" t="str">
        <f>IFERROR(__xludf.DUMMYFUNCTION("REGEXREPLACE($A309, ""(?i)^8301(E000|E100|E200|E300)?"", """")"),"E914007F0F5D4458F44882D0650AD14602C8307B00B0")</f>
        <v>E914007F0F5D4458F44882D0650AD14602C8307B00B0</v>
      </c>
    </row>
    <row r="310">
      <c r="A310" s="29" t="s">
        <v>437</v>
      </c>
      <c r="B310" s="22" t="str">
        <f>IFERROR(__xludf.DUMMYFUNCTION("LEFT(REGEXREPLACE($A310, ""(?i)^8301(E000|E100|E200|E300)?"", """"), 4)"),"E914")</f>
        <v>E914</v>
      </c>
      <c r="C310" s="30">
        <v>46235.0</v>
      </c>
      <c r="D310" s="76" t="s">
        <v>75</v>
      </c>
      <c r="E310" s="70" t="s">
        <v>120</v>
      </c>
      <c r="F310" s="27" t="str">
        <f>IFERROR(__xludf.DUMMYFUNCTION("REGEXREPLACE($A310, ""(?i)^8301(E000|E100|E200|E300)?"", """")"),"E914004C0F515D58F44882D06500D14657FF307B00B0")</f>
        <v>E914004C0F515D58F44882D06500D14657FF307B00B0</v>
      </c>
    </row>
    <row r="311">
      <c r="A311" s="29" t="s">
        <v>439</v>
      </c>
      <c r="B311" s="22" t="str">
        <f>IFERROR(__xludf.DUMMYFUNCTION("LEFT(REGEXREPLACE($A311, ""(?i)^8301(E000|E100|E200|E300)?"", """"), 4)"),"E905")</f>
        <v>E905</v>
      </c>
      <c r="C311" s="24">
        <v>46244.0</v>
      </c>
      <c r="D311" s="14" t="s">
        <v>217</v>
      </c>
      <c r="E311" s="14" t="s">
        <v>218</v>
      </c>
      <c r="F311" s="27" t="str">
        <f>IFERROR(__xludf.DUMMYFUNCTION("REGEXREPLACE($A311, ""(?i)^8301(E000|E100|E200|E300)?"", """")"),"E90500220EF3BA")</f>
        <v>E90500220EF3BA</v>
      </c>
    </row>
    <row r="312">
      <c r="A312" s="29" t="s">
        <v>441</v>
      </c>
      <c r="B312" s="22" t="str">
        <f>IFERROR(__xludf.DUMMYFUNCTION("LEFT(REGEXREPLACE($A312, ""(?i)^8301(E000|E100|E200|E300)?"", """"), 4)"),"E905")</f>
        <v>E905</v>
      </c>
      <c r="C312" s="24">
        <v>46244.0</v>
      </c>
      <c r="D312" s="14" t="s">
        <v>217</v>
      </c>
      <c r="E312" s="14" t="s">
        <v>218</v>
      </c>
      <c r="F312" s="27" t="str">
        <f>IFERROR(__xludf.DUMMYFUNCTION("REGEXREPLACE($A312, ""(?i)^8301(E000|E100|E200|E300)?"", """")"),"E90500220EE2BA")</f>
        <v>E90500220EE2BA</v>
      </c>
    </row>
    <row r="313">
      <c r="A313" s="29" t="s">
        <v>442</v>
      </c>
      <c r="B313" s="22" t="str">
        <f>IFERROR(__xludf.DUMMYFUNCTION("LEFT(REGEXREPLACE($A313, ""(?i)^8301(E000|E100|E200|E300)?"", """"), 4)"),"E905")</f>
        <v>E905</v>
      </c>
      <c r="C313" s="24">
        <v>46244.0</v>
      </c>
      <c r="D313" s="14" t="s">
        <v>217</v>
      </c>
      <c r="E313" s="14" t="s">
        <v>218</v>
      </c>
      <c r="F313" s="27" t="str">
        <f>IFERROR(__xludf.DUMMYFUNCTION("REGEXREPLACE($A313, ""(?i)^8301(E000|E100|E200|E300)?"", """")"),"E90500220EEEBA")</f>
        <v>E90500220EEEBA</v>
      </c>
    </row>
    <row r="314">
      <c r="A314" s="29" t="s">
        <v>443</v>
      </c>
      <c r="B314" s="22" t="str">
        <f>IFERROR(__xludf.DUMMYFUNCTION("LEFT(REGEXREPLACE($A314, ""(?i)^8301(E000|E100|E200|E300)?"", """"), 4)"),"E909")</f>
        <v>E909</v>
      </c>
      <c r="C314" s="24">
        <v>46244.0</v>
      </c>
      <c r="D314" s="14" t="s">
        <v>217</v>
      </c>
      <c r="E314" s="14" t="s">
        <v>218</v>
      </c>
      <c r="F314" s="27" t="str">
        <f>IFERROR(__xludf.DUMMYFUNCTION("REGEXREPLACE($A314, ""(?i)^8301(E000|E100|E200|E300)?"", """")"),"E90900230FBDAEB3A2B9BB")</f>
        <v>E90900230FBDAEB3A2B9BB</v>
      </c>
    </row>
    <row r="315">
      <c r="A315" s="29" t="s">
        <v>220</v>
      </c>
      <c r="B315" s="22" t="str">
        <f>IFERROR(__xludf.DUMMYFUNCTION("LEFT(REGEXREPLACE($A315, ""(?i)^8301(E000|E100|E200|E300)?"", """"), 4)"),"E90C")</f>
        <v>E90C</v>
      </c>
      <c r="C315" s="24">
        <v>46244.0</v>
      </c>
      <c r="D315" s="14" t="s">
        <v>217</v>
      </c>
      <c r="E315" s="14" t="s">
        <v>218</v>
      </c>
      <c r="F315" s="27" t="str">
        <f>IFERROR(__xludf.DUMMYFUNCTION("REGEXREPLACE($A315, ""(?i)^8301(E000|E100|E200|E300)?"", """")"),"E90C00A30FBDAEB3A2B9307BFBB0")</f>
        <v>E90C00A30FBDAEB3A2B9307BFBB0</v>
      </c>
    </row>
    <row r="316">
      <c r="A316" s="29" t="s">
        <v>444</v>
      </c>
      <c r="B316" s="22" t="str">
        <f>IFERROR(__xludf.DUMMYFUNCTION("LEFT(REGEXREPLACE($A316, ""(?i)^8301(E000|E100|E200|E300)?"", """"), 4)"),"E90F")</f>
        <v>E90F</v>
      </c>
      <c r="C316" s="24">
        <v>46244.0</v>
      </c>
      <c r="D316" s="14" t="s">
        <v>217</v>
      </c>
      <c r="E316" s="14" t="s">
        <v>218</v>
      </c>
      <c r="F316" s="27" t="str">
        <f>IFERROR(__xludf.DUMMYFUNCTION("REGEXREPLACE($A316, ""(?i)^8301(E000|E100|E200|E300)?"", """")"),"E90F00480EEF7AEC5C0D2814281448ABB0")</f>
        <v>E90F00480EEF7AEC5C0D2814281448ABB0</v>
      </c>
    </row>
    <row r="317">
      <c r="A317" s="29" t="s">
        <v>399</v>
      </c>
      <c r="B317" s="22" t="str">
        <f>IFERROR(__xludf.DUMMYFUNCTION("LEFT(REGEXREPLACE($A317, ""(?i)^8301(E000|E100|E200|E300)?"", """"), 4)"),"E910")</f>
        <v>E910</v>
      </c>
      <c r="C317" s="24">
        <v>46244.0</v>
      </c>
      <c r="D317" s="14" t="s">
        <v>217</v>
      </c>
      <c r="E317" s="14" t="s">
        <v>218</v>
      </c>
      <c r="F317" s="27" t="str">
        <f>IFERROR(__xludf.DUMMYFUNCTION("REGEXREPLACE($A317, ""(?i)^8301(E000|E100|E200|E300)?"", """")"),"E91000034896D00E84D146060330D04E07B0")</f>
        <v>E91000034896D00E84D146060330D04E07B0</v>
      </c>
    </row>
    <row r="318">
      <c r="A318" s="29" t="s">
        <v>445</v>
      </c>
      <c r="B318" s="22" t="str">
        <f>IFERROR(__xludf.DUMMYFUNCTION("LEFT(REGEXREPLACE($A318, ""(?i)^8301(E000|E100|E200|E300)?"", """"), 4)"),"E906")</f>
        <v>E906</v>
      </c>
      <c r="C318" s="24">
        <v>46244.0</v>
      </c>
      <c r="D318" s="14" t="s">
        <v>217</v>
      </c>
      <c r="E318" s="14" t="s">
        <v>218</v>
      </c>
      <c r="F318" s="27" t="str">
        <f>IFERROR(__xludf.DUMMYFUNCTION("REGEXREPLACE($A318, ""(?i)^8301(E000|E100|E200|E300)?"", """")"),"E90600220F5154B7")</f>
        <v>E90600220F5154B7</v>
      </c>
    </row>
    <row r="319">
      <c r="A319" s="29" t="s">
        <v>446</v>
      </c>
      <c r="B319" s="22" t="str">
        <f>IFERROR(__xludf.DUMMYFUNCTION("LEFT(REGEXREPLACE($A319, ""(?i)^8301(E000|E100|E200|E300)?"", """"), 4)"),"E911")</f>
        <v>E911</v>
      </c>
      <c r="C319" s="24">
        <v>46244.0</v>
      </c>
      <c r="D319" s="14" t="s">
        <v>217</v>
      </c>
      <c r="E319" s="14" t="s">
        <v>218</v>
      </c>
      <c r="F319" s="27" t="str">
        <f>IFERROR(__xludf.DUMMYFUNCTION("REGEXREPLACE($A319, ""(?i)^8301(E000|E100|E200|E300)?"", """")"),"E91100660F44445BF04040374894D13D051EB0")</f>
        <v>E91100660F44445BF04040374894D13D051EB0</v>
      </c>
    </row>
    <row r="320">
      <c r="A320" s="29" t="s">
        <v>447</v>
      </c>
      <c r="B320" s="22" t="str">
        <f>IFERROR(__xludf.DUMMYFUNCTION("LEFT(REGEXREPLACE($A320, ""(?i)^8301(E000|E100|E200|E300)?"", """"), 4)"),"E90E")</f>
        <v>E90E</v>
      </c>
      <c r="C320" s="24">
        <v>46244.0</v>
      </c>
      <c r="D320" s="14" t="s">
        <v>217</v>
      </c>
      <c r="E320" s="14" t="s">
        <v>218</v>
      </c>
      <c r="F320" s="27" t="str">
        <f>IFERROR(__xludf.DUMMYFUNCTION("REGEXREPLACE($A320, ""(?i)^8301(E000|E100|E200|E300)?"", """")"),"E90E00210FBBBBBBBBBB59190248AEB8")</f>
        <v>E90E00210FBBBBBBBBBB59190248AEB8</v>
      </c>
    </row>
    <row r="321">
      <c r="A321" s="29" t="s">
        <v>448</v>
      </c>
      <c r="B321" s="22" t="str">
        <f>IFERROR(__xludf.DUMMYFUNCTION("LEFT(REGEXREPLACE($A321, ""(?i)^8301(E000|E100|E200|E300)?"", """"), 4)"),"E90E")</f>
        <v>E90E</v>
      </c>
      <c r="C321" s="24">
        <v>46244.0</v>
      </c>
      <c r="D321" s="14" t="s">
        <v>217</v>
      </c>
      <c r="E321" s="14" t="s">
        <v>218</v>
      </c>
      <c r="F321" s="27" t="str">
        <f>IFERROR(__xludf.DUMMYFUNCTION("REGEXREPLACE($A321, ""(?i)^8301(E000|E100|E200|E300)?"", """")"),"E90E00210FBBBBBBBBBB59190248AEB0")</f>
        <v>E90E00210FBBBBBBBBBB59190248AEB0</v>
      </c>
    </row>
    <row r="322">
      <c r="A322" s="29" t="s">
        <v>449</v>
      </c>
      <c r="B322" s="22" t="str">
        <f>IFERROR(__xludf.DUMMYFUNCTION("LEFT(REGEXREPLACE($A322, ""(?i)^8301(E000|E100|E200|E300)?"", """"), 4)"),"E90E")</f>
        <v>E90E</v>
      </c>
      <c r="C322" s="24">
        <v>46244.0</v>
      </c>
      <c r="D322" s="14" t="s">
        <v>217</v>
      </c>
      <c r="E322" s="14" t="s">
        <v>218</v>
      </c>
      <c r="F322" s="27" t="str">
        <f>IFERROR(__xludf.DUMMYFUNCTION("REGEXREPLACE($A322, ""(?i)^8301(E000|E100|E200|E300)?"", """")"),"E90E00210FBBBBBBBBBB59190248AEB0")</f>
        <v>E90E00210FBBBBBBBBBB59190248AEB0</v>
      </c>
    </row>
    <row r="323">
      <c r="A323" s="29" t="s">
        <v>450</v>
      </c>
      <c r="B323" s="22" t="str">
        <f>IFERROR(__xludf.DUMMYFUNCTION("LEFT(REGEXREPLACE($A323, ""(?i)^8301(E000|E100|E200|E300)?"", """"), 4)"),"E914")</f>
        <v>E914</v>
      </c>
      <c r="C323" s="24">
        <v>46244.0</v>
      </c>
      <c r="D323" s="14" t="s">
        <v>217</v>
      </c>
      <c r="E323" s="14" t="s">
        <v>218</v>
      </c>
      <c r="F323" s="27" t="str">
        <f>IFERROR(__xludf.DUMMYFUNCTION("REGEXREPLACE($A323, ""(?i)^8301(E000|E100|E200|E300)?"", """")"),"E91400110F545158F44882D06511D1462A02307B33BA")</f>
        <v>E91400110F545158F44882D06511D1462A02307B33BA</v>
      </c>
    </row>
    <row r="324">
      <c r="A324" s="29" t="s">
        <v>451</v>
      </c>
      <c r="B324" s="22" t="str">
        <f>IFERROR(__xludf.DUMMYFUNCTION("LEFT(REGEXREPLACE($A324, ""(?i)^8301(E000|E100|E200|E300)?"", """"), 4)"),"E910")</f>
        <v>E910</v>
      </c>
      <c r="C324" s="24">
        <v>46244.0</v>
      </c>
      <c r="D324" s="14" t="s">
        <v>217</v>
      </c>
      <c r="E324" s="14" t="s">
        <v>218</v>
      </c>
      <c r="F324" s="27" t="str">
        <f>IFERROR(__xludf.DUMMYFUNCTION("REGEXREPLACE($A324, ""(?i)^8301(E000|E100|E200|E300)?"", """")"),"E91000010F5353F5A0D037F2D241C60500B0")</f>
        <v>E91000010F5353F5A0D037F2D241C60500B0</v>
      </c>
    </row>
    <row r="325">
      <c r="A325" s="29" t="s">
        <v>452</v>
      </c>
      <c r="B325" s="22" t="str">
        <f>IFERROR(__xludf.DUMMYFUNCTION("LEFT(REGEXREPLACE($A325, ""(?i)^8301(E000|E100|E200|E300)?"", """"), 4)"),"E910")</f>
        <v>E910</v>
      </c>
      <c r="C325" s="24">
        <v>46244.0</v>
      </c>
      <c r="D325" s="14" t="s">
        <v>217</v>
      </c>
      <c r="E325" s="14" t="s">
        <v>218</v>
      </c>
      <c r="F325" s="27" t="str">
        <f>IFERROR(__xludf.DUMMYFUNCTION("REGEXREPLACE($A325, ""(?i)^8301(E000|E100|E200|E300)?"", """")"),"E91000010F5353F5A0D037F2D241C60500B0")</f>
        <v>E91000010F5353F5A0D037F2D241C60500B0</v>
      </c>
    </row>
    <row r="326">
      <c r="A326" s="29" t="s">
        <v>453</v>
      </c>
      <c r="B326" s="22" t="str">
        <f>IFERROR(__xludf.DUMMYFUNCTION("LEFT(REGEXREPLACE($A326, ""(?i)^8301(E000|E100|E200|E300)?"", """"), 4)"),"E905")</f>
        <v>E905</v>
      </c>
      <c r="C326" s="24">
        <v>46244.0</v>
      </c>
      <c r="D326" s="14" t="s">
        <v>217</v>
      </c>
      <c r="E326" s="14" t="s">
        <v>218</v>
      </c>
      <c r="F326" s="27" t="str">
        <f>IFERROR(__xludf.DUMMYFUNCTION("REGEXREPLACE($A326, ""(?i)^8301(E000|E100|E200|E300)?"", """")"),"E90500220EE4B0")</f>
        <v>E90500220EE4B0</v>
      </c>
    </row>
    <row r="327">
      <c r="A327" s="29" t="s">
        <v>454</v>
      </c>
      <c r="B327" s="22" t="str">
        <f>IFERROR(__xludf.DUMMYFUNCTION("LEFT(REGEXREPLACE($A327, ""(?i)^8301(E000|E100|E200|E300)?"", """"), 4)"),"E909")</f>
        <v>E909</v>
      </c>
      <c r="C327" s="24">
        <v>46244.0</v>
      </c>
      <c r="D327" s="14" t="s">
        <v>217</v>
      </c>
      <c r="E327" s="14" t="s">
        <v>218</v>
      </c>
      <c r="F327" s="27" t="str">
        <f>IFERROR(__xludf.DUMMYFUNCTION("REGEXREPLACE($A327, ""(?i)^8301(E000|E100|E200|E300)?"", """")"),"E909004F0FB3A3AEAEA3B0")</f>
        <v>E909004F0FB3A3AEAEA3B0</v>
      </c>
    </row>
    <row r="328">
      <c r="A328" s="29" t="s">
        <v>456</v>
      </c>
      <c r="B328" s="22" t="str">
        <f>IFERROR(__xludf.DUMMYFUNCTION("LEFT(REGEXREPLACE($A328, ""(?i)^8301(E000|E100|E200|E300)?"", """"), 4)"),"E90F")</f>
        <v>E90F</v>
      </c>
      <c r="C328" s="24">
        <v>46244.0</v>
      </c>
      <c r="D328" s="14" t="s">
        <v>217</v>
      </c>
      <c r="E328" s="14" t="s">
        <v>218</v>
      </c>
      <c r="F328" s="27" t="str">
        <f>IFERROR(__xludf.DUMMYFUNCTION("REGEXREPLACE($A328, ""(?i)^8301(E000|E100|E200|E300)?"", """")"),"E90F004F0F4F41580F488DD246020F55B0")</f>
        <v>E90F004F0F4F41580F488DD246020F55B0</v>
      </c>
    </row>
    <row r="329">
      <c r="A329" s="29" t="s">
        <v>457</v>
      </c>
      <c r="B329" s="22" t="str">
        <f>IFERROR(__xludf.DUMMYFUNCTION("LEFT(REGEXREPLACE($A329, ""(?i)^8301(E000|E100|E200|E300)?"", """"), 4)"),"E909")</f>
        <v>E909</v>
      </c>
      <c r="C329" s="24">
        <v>46244.0</v>
      </c>
      <c r="D329" s="14" t="s">
        <v>217</v>
      </c>
      <c r="E329" s="14" t="s">
        <v>218</v>
      </c>
      <c r="F329" s="27" t="str">
        <f>IFERROR(__xludf.DUMMYFUNCTION("REGEXREPLACE($A329, ""(?i)^8301(E000|E100|E200|E300)?"", """")"),"E90900220FAFB4B0B0B4BA")</f>
        <v>E90900220FAFB4B0B0B4BA</v>
      </c>
    </row>
    <row r="330">
      <c r="A330" s="29" t="s">
        <v>458</v>
      </c>
      <c r="B330" s="22" t="str">
        <f>IFERROR(__xludf.DUMMYFUNCTION("LEFT(REGEXREPLACE($A330, ""(?i)^8301(E000|E100|E200|E300)?"", """"), 4)"),"E911")</f>
        <v>E911</v>
      </c>
      <c r="C330" s="24">
        <v>46244.0</v>
      </c>
      <c r="D330" s="14" t="s">
        <v>217</v>
      </c>
      <c r="E330" s="14" t="s">
        <v>218</v>
      </c>
      <c r="F330" s="27" t="str">
        <f>IFERROR(__xludf.DUMMYFUNCTION("REGEXREPLACE($A330, ""(?i)^8301(E000|E100|E200|E300)?"", """")"),"E91100540F545158F44882D1460507D06532B0")</f>
        <v>E91100540F545158F44882D1460507D06532B0</v>
      </c>
    </row>
    <row r="331">
      <c r="A331" s="29" t="s">
        <v>459</v>
      </c>
      <c r="B331" s="22" t="str">
        <f>IFERROR(__xludf.DUMMYFUNCTION("LEFT(REGEXREPLACE($A331, ""(?i)^8301(E000|E100|E200|E300)?"", """"), 4)"),"E909")</f>
        <v>E909</v>
      </c>
      <c r="C331" s="24">
        <v>46244.0</v>
      </c>
      <c r="D331" s="14" t="s">
        <v>217</v>
      </c>
      <c r="E331" s="14" t="s">
        <v>218</v>
      </c>
      <c r="F331" s="27" t="str">
        <f>IFERROR(__xludf.DUMMYFUNCTION("REGEXREPLACE($A331, ""(?i)^8301(E000|E100|E200|E300)?"", """")"),"E90900120FBDA2A2AEAEB0")</f>
        <v>E90900120FBDA2A2AEAEB0</v>
      </c>
    </row>
    <row r="332">
      <c r="A332" s="29" t="s">
        <v>460</v>
      </c>
      <c r="B332" s="22" t="str">
        <f>IFERROR(__xludf.DUMMYFUNCTION("LEFT(REGEXREPLACE($A332, ""(?i)^8301(E000|E100|E200|E300)?"", """"), 4)"),"E909")</f>
        <v>E909</v>
      </c>
      <c r="C332" s="24">
        <v>46244.0</v>
      </c>
      <c r="D332" s="14" t="s">
        <v>217</v>
      </c>
      <c r="E332" s="14" t="s">
        <v>218</v>
      </c>
      <c r="F332" s="27" t="str">
        <f>IFERROR(__xludf.DUMMYFUNCTION("REGEXREPLACE($A332, ""(?i)^8301(E000|E100|E200|E300)?"", """")"),"E90900120FBDA2A2AEAEB5")</f>
        <v>E90900120FBDA2A2AEAEB5</v>
      </c>
    </row>
    <row r="333">
      <c r="A333" s="29" t="s">
        <v>461</v>
      </c>
      <c r="B333" s="22" t="str">
        <f>IFERROR(__xludf.DUMMYFUNCTION("LEFT(REGEXREPLACE($A333, ""(?i)^8301(E000|E100|E200|E300)?"", """"), 4)"),"E90F")</f>
        <v>E90F</v>
      </c>
      <c r="C333" s="24">
        <v>46244.0</v>
      </c>
      <c r="D333" s="14" t="s">
        <v>217</v>
      </c>
      <c r="E333" s="14" t="s">
        <v>218</v>
      </c>
      <c r="F333" s="27" t="str">
        <f>IFERROR(__xludf.DUMMYFUNCTION("REGEXREPLACE($A333, ""(?i)^8301(E000|E100|E200|E300)?"", """")"),"E90F00010F555B5807488DD2462A0717B0")</f>
        <v>E90F00010F555B5807488DD2462A0717B0</v>
      </c>
    </row>
    <row r="334">
      <c r="A334" s="29" t="s">
        <v>462</v>
      </c>
      <c r="B334" s="22" t="str">
        <f>IFERROR(__xludf.DUMMYFUNCTION("LEFT(REGEXREPLACE($A334, ""(?i)^8301(E000|E100|E200|E300)?"", """"), 4)"),"E911")</f>
        <v>E911</v>
      </c>
      <c r="C334" s="24">
        <v>46244.0</v>
      </c>
      <c r="D334" s="14" t="s">
        <v>217</v>
      </c>
      <c r="E334" s="14" t="s">
        <v>218</v>
      </c>
      <c r="F334" s="27" t="str">
        <f>IFERROR(__xludf.DUMMYFUNCTION("REGEXREPLACE($A334, ""(?i)^8301(E000|E100|E200|E300)?"", """")"),"E91100480F445D58F44882D146050FD06500B0")</f>
        <v>E91100480F445D58F44882D146050FD06500B0</v>
      </c>
    </row>
    <row r="335">
      <c r="A335" s="29" t="s">
        <v>463</v>
      </c>
      <c r="B335" s="22" t="str">
        <f>IFERROR(__xludf.DUMMYFUNCTION("LEFT(REGEXREPLACE($A335, ""(?i)^8301(E000|E100|E200|E300)?"", """"), 4)"),"E911")</f>
        <v>E911</v>
      </c>
      <c r="C335" s="24">
        <v>46244.0</v>
      </c>
      <c r="D335" s="14" t="s">
        <v>217</v>
      </c>
      <c r="E335" s="14" t="s">
        <v>218</v>
      </c>
      <c r="F335" s="27" t="str">
        <f>IFERROR(__xludf.DUMMYFUNCTION("REGEXREPLACE($A335, ""(?i)^8301(E000|E100|E200|E300)?"", """")"),"E91100010F54535BF04040374894D13D0905B0")</f>
        <v>E91100010F54535BF04040374894D13D0905B0</v>
      </c>
    </row>
    <row r="336">
      <c r="A336" s="29" t="s">
        <v>464</v>
      </c>
      <c r="B336" s="22" t="str">
        <f>IFERROR(__xludf.DUMMYFUNCTION("LEFT(REGEXREPLACE($A336, ""(?i)^8301(E000|E100|E200|E300)?"", """"), 4)"),"E911")</f>
        <v>E911</v>
      </c>
      <c r="C336" s="24">
        <v>46244.0</v>
      </c>
      <c r="D336" s="14" t="s">
        <v>217</v>
      </c>
      <c r="E336" s="14" t="s">
        <v>218</v>
      </c>
      <c r="F336" s="27" t="str">
        <f>IFERROR(__xludf.DUMMYFUNCTION("REGEXREPLACE($A336, ""(?i)^8301(E000|E100|E200|E300)?"", """")"),"E91100010F54535BF04040374894D13D0905B0")</f>
        <v>E91100010F54535BF04040374894D13D0905B0</v>
      </c>
    </row>
    <row r="337">
      <c r="A337" s="29" t="s">
        <v>465</v>
      </c>
      <c r="B337" s="22" t="str">
        <f>IFERROR(__xludf.DUMMYFUNCTION("LEFT(REGEXREPLACE($A337, ""(?i)^8301(E000|E100|E200|E300)?"", """"), 4)"),"E911")</f>
        <v>E911</v>
      </c>
      <c r="C337" s="24">
        <v>46244.0</v>
      </c>
      <c r="D337" s="14" t="s">
        <v>217</v>
      </c>
      <c r="E337" s="14" t="s">
        <v>218</v>
      </c>
      <c r="F337" s="27" t="str">
        <f>IFERROR(__xludf.DUMMYFUNCTION("REGEXREPLACE($A337, ""(?i)^8301(E000|E100|E200|E300)?"", """")"),"E911004A0F515D58F44882D146050FD06500B0")</f>
        <v>E911004A0F515D58F44882D146050FD06500B0</v>
      </c>
    </row>
    <row r="338">
      <c r="A338" s="29" t="s">
        <v>466</v>
      </c>
      <c r="B338" s="22" t="str">
        <f>IFERROR(__xludf.DUMMYFUNCTION("LEFT(REGEXREPLACE($A338, ""(?i)^8301(E000|E100|E200|E300)?"", """"), 4)"),"E914")</f>
        <v>E914</v>
      </c>
      <c r="C338" s="24">
        <v>46244.0</v>
      </c>
      <c r="D338" s="14" t="s">
        <v>217</v>
      </c>
      <c r="E338" s="14" t="s">
        <v>218</v>
      </c>
      <c r="F338" s="27" t="str">
        <f>IFERROR(__xludf.DUMMYFUNCTION("REGEXREPLACE($A338, ""(?i)^8301(E000|E100|E200|E300)?"", """")"),"E91400550F515D58F44882D0653FD146051E307B00B0")</f>
        <v>E91400550F515D58F44882D0653FD146051E307B00B0</v>
      </c>
    </row>
    <row r="339">
      <c r="A339" s="29" t="s">
        <v>467</v>
      </c>
      <c r="B339" s="22" t="str">
        <f>IFERROR(__xludf.DUMMYFUNCTION("LEFT(REGEXREPLACE($A339, ""(?i)^8301(E000|E100|E200|E300)?"", """"), 4)"),"E910")</f>
        <v>E910</v>
      </c>
      <c r="C339" s="24">
        <v>46244.0</v>
      </c>
      <c r="D339" s="14" t="s">
        <v>217</v>
      </c>
      <c r="E339" s="14" t="s">
        <v>218</v>
      </c>
      <c r="F339" s="27" t="str">
        <f>IFERROR(__xludf.DUMMYFUNCTION("REGEXREPLACE($A339, ""(?i)^8301(E000|E100|E200|E300)?"", """")"),"E91000544897D00E80D146060F30D04E00B0")</f>
        <v>E91000544897D00E80D146060F30D04E00B0</v>
      </c>
    </row>
    <row r="340">
      <c r="A340" s="29" t="s">
        <v>468</v>
      </c>
      <c r="B340" s="22" t="str">
        <f>IFERROR(__xludf.DUMMYFUNCTION("LEFT(REGEXREPLACE($A340, ""(?i)^8301(E000|E100|E200|E300)?"", """"), 4)"),"E90C")</f>
        <v>E90C</v>
      </c>
      <c r="C340" s="24">
        <v>46244.0</v>
      </c>
      <c r="D340" s="14" t="s">
        <v>217</v>
      </c>
      <c r="E340" s="14" t="s">
        <v>218</v>
      </c>
      <c r="F340" s="27" t="str">
        <f>IFERROR(__xludf.DUMMYFUNCTION("REGEXREPLACE($A340, ""(?i)^8301(E000|E100|E200|E300)?"", """")"),"E90C00C20FBDAEB3A2B9307BFBB0")</f>
        <v>E90C00C20FBDAEB3A2B9307BFBB0</v>
      </c>
    </row>
    <row r="341">
      <c r="A341" s="29" t="s">
        <v>469</v>
      </c>
      <c r="B341" s="22" t="str">
        <f>IFERROR(__xludf.DUMMYFUNCTION("LEFT(REGEXREPLACE($A341, ""(?i)^8301(E000|E100|E200|E300)?"", """"), 4)"),"E909")</f>
        <v>E909</v>
      </c>
      <c r="C341" s="24">
        <v>46244.0</v>
      </c>
      <c r="D341" s="14" t="s">
        <v>217</v>
      </c>
      <c r="E341" s="14" t="s">
        <v>218</v>
      </c>
      <c r="F341" s="27" t="str">
        <f>IFERROR(__xludf.DUMMYFUNCTION("REGEXREPLACE($A341, ""(?i)^8301(E000|E100|E200|E300)?"", """")"),"E90900A80FAFB4B0B0B4BA")</f>
        <v>E90900A80FAFB4B0B0B4BA</v>
      </c>
    </row>
    <row r="342">
      <c r="A342" s="29" t="s">
        <v>470</v>
      </c>
      <c r="B342" s="22" t="str">
        <f>IFERROR(__xludf.DUMMYFUNCTION("LEFT(REGEXREPLACE($A342, ""(?i)^8301(E000|E100|E200|E300)?"", """"), 4)"),"E908")</f>
        <v>E908</v>
      </c>
      <c r="C342" s="24">
        <v>46249.0</v>
      </c>
      <c r="D342" s="14" t="s">
        <v>129</v>
      </c>
      <c r="E342" s="14" t="s">
        <v>130</v>
      </c>
      <c r="F342" s="27" t="str">
        <f>IFERROR(__xludf.DUMMYFUNCTION("REGEXREPLACE($A342, ""(?i)^8301(E000|E100|E200|E300)?"", """")"),"E90800B50FA8A3B3B3A3")</f>
        <v>E90800B50FA8A3B3B3A3</v>
      </c>
    </row>
    <row r="343">
      <c r="A343" s="29" t="s">
        <v>471</v>
      </c>
      <c r="B343" s="22" t="str">
        <f>IFERROR(__xludf.DUMMYFUNCTION("LEFT(REGEXREPLACE($A343, ""(?i)^8301(E000|E100|E200|E300)?"", """"), 4)"),"E913")</f>
        <v>E913</v>
      </c>
      <c r="C343" s="24">
        <v>46251.0</v>
      </c>
      <c r="D343" s="14" t="s">
        <v>129</v>
      </c>
      <c r="E343" s="14" t="s">
        <v>130</v>
      </c>
      <c r="F343" s="27" t="str">
        <f>IFERROR(__xludf.DUMMYFUNCTION("REGEXREPLACE($A343, ""(?i)^8301(E000|E100|E200|E300)?"", """")"),"E91300B60F404458F44882D06519D146060A307BFF")</f>
        <v>E91300B60F404458F44882D06519D146060A307BFF</v>
      </c>
    </row>
  </sheetData>
  <autoFilter ref="$A$1:$F$1454">
    <filterColumn colId="3">
      <filters blank="1">
        <filter val="AK"/>
        <filter val="EPCOT"/>
        <filter val="MK"/>
      </filters>
    </filterColumn>
    <sortState ref="A1:F1454">
      <sortCondition ref="B1:B1454"/>
      <sortCondition ref="A1:A1454"/>
      <sortCondition ref="C1:C1454"/>
      <sortCondition ref="F1:F1454"/>
      <sortCondition ref="E1:E1454"/>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min="5" max="5" width="10.5"/>
    <col customWidth="1" min="6" max="6" width="14.75"/>
    <col customWidth="1" min="7" max="7" width="9.5"/>
    <col customWidth="1" min="8" max="8" width="53.0"/>
    <col customWidth="1" min="9" max="9" width="12.63"/>
    <col customWidth="1" min="10" max="10" width="9.0"/>
    <col customWidth="1" min="11" max="11" width="5.88"/>
    <col customWidth="1" min="12" max="12" width="5.75"/>
    <col customWidth="1" min="13" max="13" width="4.38"/>
    <col customWidth="1" min="14" max="14" width="7.0"/>
    <col customWidth="1" min="15" max="17" width="5.63"/>
    <col customWidth="1" min="18" max="18" width="7.0"/>
    <col customWidth="1" min="19" max="21" width="5.63"/>
    <col customWidth="1" min="22" max="22" width="7.25"/>
    <col customWidth="1" min="23" max="33" width="6.38"/>
    <col customWidth="1" min="34" max="34" width="6.25"/>
    <col customWidth="1" min="35" max="39" width="6.38"/>
    <col customWidth="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hidden="1">
      <c r="A2" s="33" t="str">
        <f t="shared" ref="A2:A316" si="2">LEFT($B2, 4)</f>
        <v>CD07</v>
      </c>
      <c r="B2" s="34" t="str">
        <f>IFERROR(__xludf.DUMMYFUNCTION("REGEXREPLACE($H2, ""(?i)^8301(E000|E100|E200|E300)?"", """")"),"CD070E070228000000")</f>
        <v>CD070E070228000000</v>
      </c>
      <c r="C2" s="36" t="s">
        <v>114</v>
      </c>
      <c r="D2" s="35"/>
      <c r="E2" s="41" t="s">
        <v>75</v>
      </c>
      <c r="F2" s="41" t="s">
        <v>76</v>
      </c>
      <c r="G2" s="43">
        <v>46235.0</v>
      </c>
      <c r="H2" s="44" t="s">
        <v>92</v>
      </c>
      <c r="I2" s="35"/>
      <c r="J2" s="39" t="str">
        <f t="shared" ref="J2:J316" si="3">"0x"&amp;mid($B2,3,2)</f>
        <v>0x07</v>
      </c>
      <c r="K2" s="40" t="str">
        <f t="shared" ref="K2:K316" si="4">"0x"&amp;MID($B2,5,2)</f>
        <v>0x0E</v>
      </c>
      <c r="L2" s="40" t="str">
        <f t="shared" ref="L2:L316" si="5">"0x"&amp;MID($B2,7,2)</f>
        <v>0x07</v>
      </c>
      <c r="M2" s="42">
        <v>1.0</v>
      </c>
      <c r="N2" s="42"/>
      <c r="O2" s="45" t="str">
        <f t="shared" ref="O2:O5" si="6">"0x"&amp;MID($B2,9,2)</f>
        <v>0x02</v>
      </c>
      <c r="P2" s="45"/>
      <c r="Q2" s="45"/>
      <c r="R2" s="46"/>
      <c r="S2" s="45"/>
      <c r="T2" s="45"/>
      <c r="U2" s="45"/>
      <c r="V2" s="40">
        <v>11.0</v>
      </c>
      <c r="W2" s="47" t="str">
        <f t="shared" ref="W2:Z2" si="1">"0x" &amp; MID($B2,$V2  + 2*(COLUMN() - COLUMN($W2)), 2)</f>
        <v>0x28</v>
      </c>
      <c r="X2" s="47" t="str">
        <f t="shared" si="1"/>
        <v>0x00</v>
      </c>
      <c r="Y2" s="47" t="str">
        <f t="shared" si="1"/>
        <v>0x00</v>
      </c>
      <c r="Z2" s="47" t="str">
        <f t="shared" si="1"/>
        <v>0x00</v>
      </c>
      <c r="AA2" s="49"/>
      <c r="AB2" s="49"/>
      <c r="AC2" s="49"/>
      <c r="AD2" s="49"/>
      <c r="AE2" s="49"/>
      <c r="AF2" s="49"/>
      <c r="AG2" s="49"/>
      <c r="AH2" s="49"/>
      <c r="AI2" s="49"/>
      <c r="AJ2" s="49"/>
      <c r="AK2" s="49"/>
      <c r="AL2" s="49"/>
      <c r="AM2" s="49"/>
      <c r="AN2" s="50"/>
    </row>
    <row r="3" hidden="1">
      <c r="A3" s="51" t="str">
        <f t="shared" si="2"/>
        <v>CD07</v>
      </c>
      <c r="B3" s="52" t="str">
        <f>IFERROR(__xludf.DUMMYFUNCTION("REGEXREPLACE($H3, ""(?i)^8301(E000|E100|E200|E300)?"", """")"),"CD070E071C08000000")</f>
        <v>CD070E071C08000000</v>
      </c>
      <c r="C3" s="65" t="s">
        <v>114</v>
      </c>
      <c r="D3" s="53"/>
      <c r="E3" s="65" t="s">
        <v>75</v>
      </c>
      <c r="F3" s="65" t="s">
        <v>76</v>
      </c>
      <c r="G3" s="67">
        <v>46208.0</v>
      </c>
      <c r="H3" s="68" t="s">
        <v>72</v>
      </c>
      <c r="I3" s="53"/>
      <c r="J3" s="57" t="str">
        <f t="shared" si="3"/>
        <v>0x07</v>
      </c>
      <c r="K3" s="58" t="str">
        <f t="shared" si="4"/>
        <v>0x0E</v>
      </c>
      <c r="L3" s="58" t="str">
        <f t="shared" si="5"/>
        <v>0x07</v>
      </c>
      <c r="M3" s="59">
        <v>1.0</v>
      </c>
      <c r="N3" s="59"/>
      <c r="O3" s="60" t="str">
        <f t="shared" si="6"/>
        <v>0x1C</v>
      </c>
      <c r="P3" s="60"/>
      <c r="Q3" s="60"/>
      <c r="R3" s="61"/>
      <c r="S3" s="60"/>
      <c r="T3" s="60"/>
      <c r="U3" s="60"/>
      <c r="V3" s="58">
        <v>11.0</v>
      </c>
      <c r="W3" s="62" t="str">
        <f t="shared" ref="W3:Z3" si="7">"0x" &amp; MID($B3,$V3  + 2*(COLUMN() - COLUMN($W3)), 2)</f>
        <v>0x08</v>
      </c>
      <c r="X3" s="62" t="str">
        <f t="shared" si="7"/>
        <v>0x00</v>
      </c>
      <c r="Y3" s="62" t="str">
        <f t="shared" si="7"/>
        <v>0x00</v>
      </c>
      <c r="Z3" s="62" t="str">
        <f t="shared" si="7"/>
        <v>0x00</v>
      </c>
      <c r="AA3" s="63"/>
      <c r="AB3" s="63"/>
      <c r="AC3" s="63"/>
      <c r="AD3" s="63"/>
      <c r="AE3" s="63"/>
      <c r="AF3" s="63"/>
      <c r="AG3" s="63"/>
      <c r="AH3" s="63"/>
      <c r="AI3" s="63"/>
      <c r="AJ3" s="63"/>
      <c r="AK3" s="63"/>
      <c r="AL3" s="63"/>
      <c r="AM3" s="63"/>
      <c r="AN3" s="66"/>
    </row>
    <row r="4" hidden="1">
      <c r="A4" s="33" t="str">
        <f t="shared" si="2"/>
        <v>CD07</v>
      </c>
      <c r="B4" s="34" t="str">
        <f>IFERROR(__xludf.DUMMYFUNCTION("REGEXREPLACE($H4, ""(?i)^8301(E000|E100|E200|E300)?"", """")"),"CD070E071C28000000")</f>
        <v>CD070E071C28000000</v>
      </c>
      <c r="C4" s="36" t="s">
        <v>114</v>
      </c>
      <c r="D4" s="35"/>
      <c r="E4" s="36" t="s">
        <v>75</v>
      </c>
      <c r="F4" s="36" t="s">
        <v>76</v>
      </c>
      <c r="G4" s="37">
        <v>46208.0</v>
      </c>
      <c r="H4" s="38" t="s">
        <v>77</v>
      </c>
      <c r="I4" s="35"/>
      <c r="J4" s="39" t="str">
        <f t="shared" si="3"/>
        <v>0x07</v>
      </c>
      <c r="K4" s="40" t="str">
        <f t="shared" si="4"/>
        <v>0x0E</v>
      </c>
      <c r="L4" s="40" t="str">
        <f t="shared" si="5"/>
        <v>0x07</v>
      </c>
      <c r="M4" s="42">
        <v>1.0</v>
      </c>
      <c r="N4" s="42"/>
      <c r="O4" s="45" t="str">
        <f t="shared" si="6"/>
        <v>0x1C</v>
      </c>
      <c r="P4" s="45"/>
      <c r="Q4" s="45"/>
      <c r="R4" s="46"/>
      <c r="S4" s="45"/>
      <c r="T4" s="45"/>
      <c r="U4" s="45"/>
      <c r="V4" s="40">
        <v>11.0</v>
      </c>
      <c r="W4" s="47" t="str">
        <f t="shared" ref="W4:Z4" si="8">"0x" &amp; MID($B4,$V4  + 2*(COLUMN() - COLUMN($W4)), 2)</f>
        <v>0x28</v>
      </c>
      <c r="X4" s="47" t="str">
        <f t="shared" si="8"/>
        <v>0x00</v>
      </c>
      <c r="Y4" s="47" t="str">
        <f t="shared" si="8"/>
        <v>0x00</v>
      </c>
      <c r="Z4" s="47" t="str">
        <f t="shared" si="8"/>
        <v>0x00</v>
      </c>
      <c r="AA4" s="49"/>
      <c r="AB4" s="49"/>
      <c r="AC4" s="49"/>
      <c r="AD4" s="49"/>
      <c r="AE4" s="49"/>
      <c r="AF4" s="49"/>
      <c r="AG4" s="49"/>
      <c r="AH4" s="49"/>
      <c r="AI4" s="49"/>
      <c r="AJ4" s="49"/>
      <c r="AK4" s="49"/>
      <c r="AL4" s="49"/>
      <c r="AM4" s="49"/>
      <c r="AN4" s="50"/>
    </row>
    <row r="5" hidden="1">
      <c r="A5" s="51" t="str">
        <f t="shared" si="2"/>
        <v>CD07</v>
      </c>
      <c r="B5" s="52" t="str">
        <f>IFERROR(__xludf.DUMMYFUNCTION("REGEXREPLACE($H5, ""(?i)^8301(E000|E100|E200|E300)?"", """")"),"CD070E071C48000000")</f>
        <v>CD070E071C48000000</v>
      </c>
      <c r="C5" s="65" t="s">
        <v>114</v>
      </c>
      <c r="D5" s="53"/>
      <c r="E5" s="65" t="s">
        <v>75</v>
      </c>
      <c r="F5" s="65" t="s">
        <v>76</v>
      </c>
      <c r="G5" s="67">
        <v>46219.0</v>
      </c>
      <c r="H5" s="68" t="s">
        <v>87</v>
      </c>
      <c r="I5" s="53"/>
      <c r="J5" s="57" t="str">
        <f t="shared" si="3"/>
        <v>0x07</v>
      </c>
      <c r="K5" s="58" t="str">
        <f t="shared" si="4"/>
        <v>0x0E</v>
      </c>
      <c r="L5" s="58" t="str">
        <f t="shared" si="5"/>
        <v>0x07</v>
      </c>
      <c r="M5" s="59">
        <v>1.0</v>
      </c>
      <c r="N5" s="59"/>
      <c r="O5" s="60" t="str">
        <f t="shared" si="6"/>
        <v>0x1C</v>
      </c>
      <c r="P5" s="60"/>
      <c r="Q5" s="60"/>
      <c r="R5" s="61"/>
      <c r="S5" s="60"/>
      <c r="T5" s="60"/>
      <c r="U5" s="60"/>
      <c r="V5" s="58">
        <v>11.0</v>
      </c>
      <c r="W5" s="62" t="str">
        <f t="shared" ref="W5:Z5" si="9">"0x" &amp; MID($B5,$V5  + 2*(COLUMN() - COLUMN($W5)), 2)</f>
        <v>0x48</v>
      </c>
      <c r="X5" s="62" t="str">
        <f t="shared" si="9"/>
        <v>0x00</v>
      </c>
      <c r="Y5" s="62" t="str">
        <f t="shared" si="9"/>
        <v>0x00</v>
      </c>
      <c r="Z5" s="62" t="str">
        <f t="shared" si="9"/>
        <v>0x00</v>
      </c>
      <c r="AA5" s="63"/>
      <c r="AB5" s="63"/>
      <c r="AC5" s="63"/>
      <c r="AD5" s="63"/>
      <c r="AE5" s="63"/>
      <c r="AF5" s="63"/>
      <c r="AG5" s="63"/>
      <c r="AH5" s="63"/>
      <c r="AI5" s="63"/>
      <c r="AJ5" s="63"/>
      <c r="AK5" s="63"/>
      <c r="AL5" s="63"/>
      <c r="AM5" s="63"/>
      <c r="AN5" s="66"/>
    </row>
    <row r="6" hidden="1">
      <c r="A6" s="33" t="str">
        <f t="shared" si="2"/>
        <v>E904</v>
      </c>
      <c r="B6" s="34" t="str">
        <f>IFERROR(__xludf.DUMMYFUNCTION("REGEXREPLACE($H6, ""(?i)^8301(E000|E100|E200|E300)?"", """")"),"E90400010EFD")</f>
        <v>E90400010EFD</v>
      </c>
      <c r="C6" s="36" t="s">
        <v>198</v>
      </c>
      <c r="D6" s="35"/>
      <c r="E6" s="36" t="s">
        <v>129</v>
      </c>
      <c r="F6" s="41" t="s">
        <v>130</v>
      </c>
      <c r="G6" s="37">
        <v>46240.0</v>
      </c>
      <c r="H6" s="44" t="s">
        <v>128</v>
      </c>
      <c r="I6" s="35"/>
      <c r="J6" s="39" t="str">
        <f t="shared" si="3"/>
        <v>0x04</v>
      </c>
      <c r="K6" s="40" t="str">
        <f t="shared" si="4"/>
        <v>0x00</v>
      </c>
      <c r="L6" s="40" t="str">
        <f t="shared" si="5"/>
        <v>0x01</v>
      </c>
      <c r="M6" s="42">
        <v>1.0</v>
      </c>
      <c r="N6" s="42" t="str">
        <f t="shared" ref="N6:N52" si="10">"0x"&amp;MID($B6,9,2)</f>
        <v>0x0E</v>
      </c>
      <c r="O6" s="48" t="str">
        <f t="shared" ref="O6:O52" si="11">"0x"&amp;MID($B6,11,2)</f>
        <v>0xFD</v>
      </c>
      <c r="P6" s="48"/>
      <c r="Q6" s="48"/>
      <c r="R6" s="42"/>
      <c r="S6" s="48"/>
      <c r="T6" s="48"/>
      <c r="U6" s="48"/>
      <c r="V6" s="49"/>
      <c r="W6" s="49"/>
      <c r="X6" s="49"/>
      <c r="Y6" s="49"/>
      <c r="Z6" s="49"/>
      <c r="AA6" s="49"/>
      <c r="AB6" s="49"/>
      <c r="AC6" s="49"/>
      <c r="AD6" s="49"/>
      <c r="AE6" s="49"/>
      <c r="AF6" s="49"/>
      <c r="AG6" s="49"/>
      <c r="AH6" s="49"/>
      <c r="AI6" s="49"/>
      <c r="AJ6" s="49"/>
      <c r="AK6" s="49"/>
      <c r="AL6" s="49"/>
      <c r="AM6" s="49"/>
      <c r="AN6" s="50"/>
    </row>
    <row r="7" hidden="1">
      <c r="A7" s="51" t="str">
        <f t="shared" si="2"/>
        <v>E904</v>
      </c>
      <c r="B7" s="52" t="str">
        <f>IFERROR(__xludf.DUMMYFUNCTION("REGEXREPLACE($H7, ""(?i)^8301(E000|E100|E200|E300)?"", """")"),"E904000F0EF5")</f>
        <v>E904000F0EF5</v>
      </c>
      <c r="C7" s="65" t="s">
        <v>198</v>
      </c>
      <c r="D7" s="53"/>
      <c r="E7" s="65" t="s">
        <v>106</v>
      </c>
      <c r="F7" s="65" t="s">
        <v>107</v>
      </c>
      <c r="G7" s="67">
        <v>46220.0</v>
      </c>
      <c r="H7" s="68" t="s">
        <v>105</v>
      </c>
      <c r="I7" s="53"/>
      <c r="J7" s="57" t="str">
        <f t="shared" si="3"/>
        <v>0x04</v>
      </c>
      <c r="K7" s="58" t="str">
        <f t="shared" si="4"/>
        <v>0x00</v>
      </c>
      <c r="L7" s="58" t="str">
        <f t="shared" si="5"/>
        <v>0x0F</v>
      </c>
      <c r="M7" s="59">
        <v>1.0</v>
      </c>
      <c r="N7" s="59" t="str">
        <f t="shared" si="10"/>
        <v>0x0E</v>
      </c>
      <c r="O7" s="71" t="str">
        <f t="shared" si="11"/>
        <v>0xF5</v>
      </c>
      <c r="P7" s="71"/>
      <c r="Q7" s="71"/>
      <c r="R7" s="59"/>
      <c r="S7" s="71"/>
      <c r="T7" s="71"/>
      <c r="U7" s="71"/>
      <c r="V7" s="63"/>
      <c r="W7" s="63"/>
      <c r="X7" s="63"/>
      <c r="Y7" s="63"/>
      <c r="Z7" s="63"/>
      <c r="AA7" s="63"/>
      <c r="AB7" s="63"/>
      <c r="AC7" s="63"/>
      <c r="AD7" s="63"/>
      <c r="AE7" s="63"/>
      <c r="AF7" s="63"/>
      <c r="AG7" s="63"/>
      <c r="AH7" s="63"/>
      <c r="AI7" s="63"/>
      <c r="AJ7" s="63"/>
      <c r="AK7" s="63"/>
      <c r="AL7" s="63"/>
      <c r="AM7" s="63"/>
      <c r="AN7" s="66"/>
    </row>
    <row r="8" hidden="1">
      <c r="A8" s="33" t="str">
        <f t="shared" si="2"/>
        <v>E904</v>
      </c>
      <c r="B8" s="34" t="str">
        <f>IFERROR(__xludf.DUMMYFUNCTION("REGEXREPLACE($H8, ""(?i)^8301(E000|E100|E200|E300)?"", """")"),"E90400120EF9")</f>
        <v>E90400120EF9</v>
      </c>
      <c r="C8" s="36" t="s">
        <v>198</v>
      </c>
      <c r="D8" s="35"/>
      <c r="E8" s="36" t="s">
        <v>106</v>
      </c>
      <c r="F8" s="36" t="s">
        <v>107</v>
      </c>
      <c r="G8" s="37">
        <v>46220.0</v>
      </c>
      <c r="H8" s="38" t="s">
        <v>108</v>
      </c>
      <c r="I8" s="35"/>
      <c r="J8" s="39" t="str">
        <f t="shared" si="3"/>
        <v>0x04</v>
      </c>
      <c r="K8" s="40" t="str">
        <f t="shared" si="4"/>
        <v>0x00</v>
      </c>
      <c r="L8" s="40" t="str">
        <f t="shared" si="5"/>
        <v>0x12</v>
      </c>
      <c r="M8" s="42">
        <v>1.0</v>
      </c>
      <c r="N8" s="42" t="str">
        <f t="shared" si="10"/>
        <v>0x0E</v>
      </c>
      <c r="O8" s="48" t="str">
        <f t="shared" si="11"/>
        <v>0xF9</v>
      </c>
      <c r="P8" s="48"/>
      <c r="Q8" s="48"/>
      <c r="R8" s="42"/>
      <c r="S8" s="48"/>
      <c r="T8" s="48"/>
      <c r="U8" s="48"/>
      <c r="V8" s="49"/>
      <c r="W8" s="49"/>
      <c r="X8" s="49"/>
      <c r="Y8" s="49"/>
      <c r="Z8" s="49"/>
      <c r="AA8" s="49"/>
      <c r="AB8" s="49"/>
      <c r="AC8" s="49"/>
      <c r="AD8" s="49"/>
      <c r="AE8" s="49"/>
      <c r="AF8" s="49"/>
      <c r="AG8" s="49"/>
      <c r="AH8" s="49"/>
      <c r="AI8" s="49"/>
      <c r="AJ8" s="49"/>
      <c r="AK8" s="49"/>
      <c r="AL8" s="49"/>
      <c r="AM8" s="49"/>
      <c r="AN8" s="50"/>
    </row>
    <row r="9" hidden="1">
      <c r="A9" s="51" t="str">
        <f t="shared" si="2"/>
        <v>E904</v>
      </c>
      <c r="B9" s="52" t="str">
        <f>IFERROR(__xludf.DUMMYFUNCTION("REGEXREPLACE($H9, ""(?i)^8301(E000|E100|E200|E300)?"", """")"),"E90400430EFB")</f>
        <v>E90400430EFB</v>
      </c>
      <c r="C9" s="65" t="s">
        <v>198</v>
      </c>
      <c r="D9" s="53"/>
      <c r="E9" s="65" t="s">
        <v>106</v>
      </c>
      <c r="F9" s="65" t="s">
        <v>107</v>
      </c>
      <c r="G9" s="67">
        <v>46220.0</v>
      </c>
      <c r="H9" s="68" t="s">
        <v>109</v>
      </c>
      <c r="I9" s="53"/>
      <c r="J9" s="57" t="str">
        <f t="shared" si="3"/>
        <v>0x04</v>
      </c>
      <c r="K9" s="58" t="str">
        <f t="shared" si="4"/>
        <v>0x00</v>
      </c>
      <c r="L9" s="58" t="str">
        <f t="shared" si="5"/>
        <v>0x43</v>
      </c>
      <c r="M9" s="59">
        <v>1.0</v>
      </c>
      <c r="N9" s="59" t="str">
        <f t="shared" si="10"/>
        <v>0x0E</v>
      </c>
      <c r="O9" s="71" t="str">
        <f t="shared" si="11"/>
        <v>0xFB</v>
      </c>
      <c r="P9" s="71"/>
      <c r="Q9" s="71"/>
      <c r="R9" s="59"/>
      <c r="S9" s="71"/>
      <c r="T9" s="71"/>
      <c r="U9" s="71"/>
      <c r="V9" s="63"/>
      <c r="W9" s="63"/>
      <c r="X9" s="63"/>
      <c r="Y9" s="63"/>
      <c r="Z9" s="63"/>
      <c r="AA9" s="63"/>
      <c r="AB9" s="63"/>
      <c r="AC9" s="63"/>
      <c r="AD9" s="63"/>
      <c r="AE9" s="63"/>
      <c r="AF9" s="63"/>
      <c r="AG9" s="63"/>
      <c r="AH9" s="63"/>
      <c r="AI9" s="63"/>
      <c r="AJ9" s="63"/>
      <c r="AK9" s="63"/>
      <c r="AL9" s="63"/>
      <c r="AM9" s="63"/>
      <c r="AN9" s="66"/>
    </row>
    <row r="10" hidden="1">
      <c r="A10" s="33" t="str">
        <f t="shared" si="2"/>
        <v>E904</v>
      </c>
      <c r="B10" s="34" t="str">
        <f>IFERROR(__xludf.DUMMYFUNCTION("REGEXREPLACE($H10, ""(?i)^8301(E000|E100|E200|E300)?"", """")"),"E904006B0EF9")</f>
        <v>E904006B0EF9</v>
      </c>
      <c r="C10" s="36" t="s">
        <v>198</v>
      </c>
      <c r="D10" s="35"/>
      <c r="E10" s="36" t="s">
        <v>106</v>
      </c>
      <c r="F10" s="36" t="s">
        <v>107</v>
      </c>
      <c r="G10" s="37">
        <v>46220.0</v>
      </c>
      <c r="H10" s="38" t="s">
        <v>110</v>
      </c>
      <c r="I10" s="35"/>
      <c r="J10" s="39" t="str">
        <f t="shared" si="3"/>
        <v>0x04</v>
      </c>
      <c r="K10" s="40" t="str">
        <f t="shared" si="4"/>
        <v>0x00</v>
      </c>
      <c r="L10" s="40" t="str">
        <f t="shared" si="5"/>
        <v>0x6B</v>
      </c>
      <c r="M10" s="42">
        <v>1.0</v>
      </c>
      <c r="N10" s="42" t="str">
        <f t="shared" si="10"/>
        <v>0x0E</v>
      </c>
      <c r="O10" s="48" t="str">
        <f t="shared" si="11"/>
        <v>0xF9</v>
      </c>
      <c r="P10" s="48"/>
      <c r="Q10" s="48"/>
      <c r="R10" s="42"/>
      <c r="S10" s="48"/>
      <c r="T10" s="48"/>
      <c r="U10" s="48"/>
      <c r="V10" s="49"/>
      <c r="W10" s="49"/>
      <c r="X10" s="49"/>
      <c r="Y10" s="49"/>
      <c r="Z10" s="49"/>
      <c r="AA10" s="49"/>
      <c r="AB10" s="49"/>
      <c r="AC10" s="49"/>
      <c r="AD10" s="49"/>
      <c r="AE10" s="49"/>
      <c r="AF10" s="49"/>
      <c r="AG10" s="49"/>
      <c r="AH10" s="49"/>
      <c r="AI10" s="49"/>
      <c r="AJ10" s="49"/>
      <c r="AK10" s="49"/>
      <c r="AL10" s="49"/>
      <c r="AM10" s="49"/>
      <c r="AN10" s="50"/>
    </row>
    <row r="11" hidden="1">
      <c r="A11" s="51" t="str">
        <f t="shared" si="2"/>
        <v>E904</v>
      </c>
      <c r="B11" s="52" t="str">
        <f>IFERROR(__xludf.DUMMYFUNCTION("REGEXREPLACE($H11, ""(?i)^8301(E000|E100|E200|E300)?"", """")"),"E90400CF0EE2")</f>
        <v>E90400CF0EE2</v>
      </c>
      <c r="C11" s="65" t="s">
        <v>198</v>
      </c>
      <c r="D11" s="53"/>
      <c r="E11" s="65" t="s">
        <v>106</v>
      </c>
      <c r="F11" s="65" t="s">
        <v>107</v>
      </c>
      <c r="G11" s="67">
        <v>46220.0</v>
      </c>
      <c r="H11" s="68" t="s">
        <v>111</v>
      </c>
      <c r="I11" s="53"/>
      <c r="J11" s="57" t="str">
        <f t="shared" si="3"/>
        <v>0x04</v>
      </c>
      <c r="K11" s="58" t="str">
        <f t="shared" si="4"/>
        <v>0x00</v>
      </c>
      <c r="L11" s="58" t="str">
        <f t="shared" si="5"/>
        <v>0xCF</v>
      </c>
      <c r="M11" s="59">
        <v>1.0</v>
      </c>
      <c r="N11" s="59" t="str">
        <f t="shared" si="10"/>
        <v>0x0E</v>
      </c>
      <c r="O11" s="71" t="str">
        <f t="shared" si="11"/>
        <v>0xE2</v>
      </c>
      <c r="P11" s="71"/>
      <c r="Q11" s="71"/>
      <c r="R11" s="59"/>
      <c r="S11" s="71"/>
      <c r="T11" s="71"/>
      <c r="U11" s="71"/>
      <c r="V11" s="63"/>
      <c r="W11" s="63"/>
      <c r="X11" s="63"/>
      <c r="Y11" s="63"/>
      <c r="Z11" s="63"/>
      <c r="AA11" s="63"/>
      <c r="AB11" s="63"/>
      <c r="AC11" s="63"/>
      <c r="AD11" s="63"/>
      <c r="AE11" s="63"/>
      <c r="AF11" s="63"/>
      <c r="AG11" s="63"/>
      <c r="AH11" s="63"/>
      <c r="AI11" s="63"/>
      <c r="AJ11" s="63"/>
      <c r="AK11" s="63"/>
      <c r="AL11" s="63"/>
      <c r="AM11" s="63"/>
      <c r="AN11" s="66"/>
    </row>
    <row r="12" hidden="1">
      <c r="A12" s="33" t="str">
        <f t="shared" si="2"/>
        <v>E904</v>
      </c>
      <c r="B12" s="34" t="str">
        <f>IFERROR(__xludf.DUMMYFUNCTION("REGEXREPLACE($H12, ""(?i)^8301(E000|E100|E200|E300)?"", """")"),"E90400CF0EFD")</f>
        <v>E90400CF0EFD</v>
      </c>
      <c r="C12" s="36" t="s">
        <v>198</v>
      </c>
      <c r="D12" s="35"/>
      <c r="E12" s="36" t="s">
        <v>106</v>
      </c>
      <c r="F12" s="36" t="s">
        <v>107</v>
      </c>
      <c r="G12" s="37">
        <v>46220.0</v>
      </c>
      <c r="H12" s="38" t="s">
        <v>112</v>
      </c>
      <c r="I12" s="35"/>
      <c r="J12" s="39" t="str">
        <f t="shared" si="3"/>
        <v>0x04</v>
      </c>
      <c r="K12" s="40" t="str">
        <f t="shared" si="4"/>
        <v>0x00</v>
      </c>
      <c r="L12" s="40" t="str">
        <f t="shared" si="5"/>
        <v>0xCF</v>
      </c>
      <c r="M12" s="42">
        <v>1.0</v>
      </c>
      <c r="N12" s="42" t="str">
        <f t="shared" si="10"/>
        <v>0x0E</v>
      </c>
      <c r="O12" s="48" t="str">
        <f t="shared" si="11"/>
        <v>0xFD</v>
      </c>
      <c r="P12" s="48"/>
      <c r="Q12" s="48"/>
      <c r="R12" s="42"/>
      <c r="S12" s="48"/>
      <c r="T12" s="48"/>
      <c r="U12" s="48"/>
      <c r="V12" s="49"/>
      <c r="W12" s="49"/>
      <c r="X12" s="49"/>
      <c r="Y12" s="49"/>
      <c r="Z12" s="49"/>
      <c r="AA12" s="49"/>
      <c r="AB12" s="49"/>
      <c r="AC12" s="49"/>
      <c r="AD12" s="49"/>
      <c r="AE12" s="49"/>
      <c r="AF12" s="49"/>
      <c r="AG12" s="49"/>
      <c r="AH12" s="49"/>
      <c r="AI12" s="49"/>
      <c r="AJ12" s="49"/>
      <c r="AK12" s="49"/>
      <c r="AL12" s="49"/>
      <c r="AM12" s="49"/>
      <c r="AN12" s="50"/>
    </row>
    <row r="13" hidden="1">
      <c r="A13" s="51" t="str">
        <f t="shared" si="2"/>
        <v>E904</v>
      </c>
      <c r="B13" s="52" t="str">
        <f>IFERROR(__xludf.DUMMYFUNCTION("REGEXREPLACE($H13, ""(?i)^8301(E000|E100|E200|E300)?"", """")"),"E90400D50EE4")</f>
        <v>E90400D50EE4</v>
      </c>
      <c r="C13" s="65" t="s">
        <v>198</v>
      </c>
      <c r="D13" s="53"/>
      <c r="E13" s="65" t="s">
        <v>106</v>
      </c>
      <c r="F13" s="65" t="s">
        <v>107</v>
      </c>
      <c r="G13" s="67">
        <v>46220.0</v>
      </c>
      <c r="H13" s="68" t="s">
        <v>113</v>
      </c>
      <c r="I13" s="53"/>
      <c r="J13" s="57" t="str">
        <f t="shared" si="3"/>
        <v>0x04</v>
      </c>
      <c r="K13" s="58" t="str">
        <f t="shared" si="4"/>
        <v>0x00</v>
      </c>
      <c r="L13" s="58" t="str">
        <f t="shared" si="5"/>
        <v>0xD5</v>
      </c>
      <c r="M13" s="59">
        <v>1.0</v>
      </c>
      <c r="N13" s="59" t="str">
        <f t="shared" si="10"/>
        <v>0x0E</v>
      </c>
      <c r="O13" s="71" t="str">
        <f t="shared" si="11"/>
        <v>0xE4</v>
      </c>
      <c r="P13" s="71"/>
      <c r="Q13" s="71"/>
      <c r="R13" s="59"/>
      <c r="S13" s="71"/>
      <c r="T13" s="71"/>
      <c r="U13" s="71"/>
      <c r="V13" s="63"/>
      <c r="W13" s="63"/>
      <c r="X13" s="63"/>
      <c r="Y13" s="63"/>
      <c r="Z13" s="63"/>
      <c r="AA13" s="63"/>
      <c r="AB13" s="63"/>
      <c r="AC13" s="63"/>
      <c r="AD13" s="63"/>
      <c r="AE13" s="63"/>
      <c r="AF13" s="63"/>
      <c r="AG13" s="63"/>
      <c r="AH13" s="63"/>
      <c r="AI13" s="63"/>
      <c r="AJ13" s="63"/>
      <c r="AK13" s="63"/>
      <c r="AL13" s="63"/>
      <c r="AM13" s="63"/>
      <c r="AN13" s="66"/>
    </row>
    <row r="14" hidden="1">
      <c r="A14" s="33" t="str">
        <f t="shared" si="2"/>
        <v>E904</v>
      </c>
      <c r="B14" s="34" t="str">
        <f>IFERROR(__xludf.DUMMYFUNCTION("REGEXREPLACE($H14, ""(?i)^8301(E000|E100|E200|E300)?"", """")"),"E90400DF0EED")</f>
        <v>E90400DF0EED</v>
      </c>
      <c r="C14" s="36" t="s">
        <v>198</v>
      </c>
      <c r="D14" s="35"/>
      <c r="E14" s="36" t="s">
        <v>106</v>
      </c>
      <c r="F14" s="36" t="s">
        <v>107</v>
      </c>
      <c r="G14" s="37">
        <v>46220.0</v>
      </c>
      <c r="H14" s="38" t="s">
        <v>117</v>
      </c>
      <c r="I14" s="35"/>
      <c r="J14" s="39" t="str">
        <f t="shared" si="3"/>
        <v>0x04</v>
      </c>
      <c r="K14" s="40" t="str">
        <f t="shared" si="4"/>
        <v>0x00</v>
      </c>
      <c r="L14" s="40" t="str">
        <f t="shared" si="5"/>
        <v>0xDF</v>
      </c>
      <c r="M14" s="42">
        <v>1.0</v>
      </c>
      <c r="N14" s="42" t="str">
        <f t="shared" si="10"/>
        <v>0x0E</v>
      </c>
      <c r="O14" s="48" t="str">
        <f t="shared" si="11"/>
        <v>0xED</v>
      </c>
      <c r="P14" s="48"/>
      <c r="Q14" s="48"/>
      <c r="R14" s="42"/>
      <c r="S14" s="48"/>
      <c r="T14" s="48"/>
      <c r="U14" s="48"/>
      <c r="V14" s="49"/>
      <c r="W14" s="49"/>
      <c r="X14" s="49"/>
      <c r="Y14" s="49"/>
      <c r="Z14" s="49"/>
      <c r="AA14" s="49"/>
      <c r="AB14" s="49"/>
      <c r="AC14" s="49"/>
      <c r="AD14" s="49"/>
      <c r="AE14" s="49"/>
      <c r="AF14" s="49"/>
      <c r="AG14" s="49"/>
      <c r="AH14" s="49"/>
      <c r="AI14" s="49"/>
      <c r="AJ14" s="49"/>
      <c r="AK14" s="49"/>
      <c r="AL14" s="49"/>
      <c r="AM14" s="49"/>
      <c r="AN14" s="50"/>
    </row>
    <row r="15" hidden="1">
      <c r="A15" s="51" t="str">
        <f t="shared" si="2"/>
        <v>E904</v>
      </c>
      <c r="B15" s="52" t="str">
        <f>IFERROR(__xludf.DUMMYFUNCTION("REGEXREPLACE($H15, ""(?i)^8301(E000|E100|E200|E300)?"", """")"),"E90400DF0EF3")</f>
        <v>E90400DF0EF3</v>
      </c>
      <c r="C15" s="65" t="s">
        <v>198</v>
      </c>
      <c r="D15" s="53"/>
      <c r="E15" s="65" t="s">
        <v>106</v>
      </c>
      <c r="F15" s="65" t="s">
        <v>107</v>
      </c>
      <c r="G15" s="67">
        <v>46220.0</v>
      </c>
      <c r="H15" s="68" t="s">
        <v>122</v>
      </c>
      <c r="I15" s="53"/>
      <c r="J15" s="57" t="str">
        <f t="shared" si="3"/>
        <v>0x04</v>
      </c>
      <c r="K15" s="58" t="str">
        <f t="shared" si="4"/>
        <v>0x00</v>
      </c>
      <c r="L15" s="58" t="str">
        <f t="shared" si="5"/>
        <v>0xDF</v>
      </c>
      <c r="M15" s="59">
        <v>1.0</v>
      </c>
      <c r="N15" s="59" t="str">
        <f t="shared" si="10"/>
        <v>0x0E</v>
      </c>
      <c r="O15" s="71" t="str">
        <f t="shared" si="11"/>
        <v>0xF3</v>
      </c>
      <c r="P15" s="71"/>
      <c r="Q15" s="71"/>
      <c r="R15" s="59"/>
      <c r="S15" s="71"/>
      <c r="T15" s="71"/>
      <c r="U15" s="71"/>
      <c r="V15" s="63"/>
      <c r="W15" s="63"/>
      <c r="X15" s="63"/>
      <c r="Y15" s="63"/>
      <c r="Z15" s="63"/>
      <c r="AA15" s="63"/>
      <c r="AB15" s="63"/>
      <c r="AC15" s="63"/>
      <c r="AD15" s="63"/>
      <c r="AE15" s="63"/>
      <c r="AF15" s="63"/>
      <c r="AG15" s="63"/>
      <c r="AH15" s="63"/>
      <c r="AI15" s="63"/>
      <c r="AJ15" s="63"/>
      <c r="AK15" s="63"/>
      <c r="AL15" s="63"/>
      <c r="AM15" s="63"/>
      <c r="AN15" s="66"/>
    </row>
    <row r="16" hidden="1">
      <c r="A16" s="33" t="str">
        <f t="shared" si="2"/>
        <v>E904</v>
      </c>
      <c r="B16" s="34" t="str">
        <f>IFERROR(__xludf.DUMMYFUNCTION("REGEXREPLACE($H16, ""(?i)^8301(E000|E100|E200|E300)?"", """")"),"E90400DF0EF5")</f>
        <v>E90400DF0EF5</v>
      </c>
      <c r="C16" s="36" t="s">
        <v>198</v>
      </c>
      <c r="D16" s="35"/>
      <c r="E16" s="36" t="s">
        <v>106</v>
      </c>
      <c r="F16" s="36" t="s">
        <v>107</v>
      </c>
      <c r="G16" s="37">
        <v>46220.0</v>
      </c>
      <c r="H16" s="38" t="s">
        <v>123</v>
      </c>
      <c r="I16" s="35"/>
      <c r="J16" s="39" t="str">
        <f t="shared" si="3"/>
        <v>0x04</v>
      </c>
      <c r="K16" s="40" t="str">
        <f t="shared" si="4"/>
        <v>0x00</v>
      </c>
      <c r="L16" s="40" t="str">
        <f t="shared" si="5"/>
        <v>0xDF</v>
      </c>
      <c r="M16" s="42">
        <v>1.0</v>
      </c>
      <c r="N16" s="42" t="str">
        <f t="shared" si="10"/>
        <v>0x0E</v>
      </c>
      <c r="O16" s="48" t="str">
        <f t="shared" si="11"/>
        <v>0xF5</v>
      </c>
      <c r="P16" s="48"/>
      <c r="Q16" s="48"/>
      <c r="R16" s="42"/>
      <c r="S16" s="48"/>
      <c r="T16" s="48"/>
      <c r="U16" s="48"/>
      <c r="V16" s="49"/>
      <c r="W16" s="49"/>
      <c r="X16" s="49"/>
      <c r="Y16" s="49"/>
      <c r="Z16" s="49"/>
      <c r="AA16" s="49"/>
      <c r="AB16" s="49"/>
      <c r="AC16" s="49"/>
      <c r="AD16" s="49"/>
      <c r="AE16" s="49"/>
      <c r="AF16" s="49"/>
      <c r="AG16" s="49"/>
      <c r="AH16" s="49"/>
      <c r="AI16" s="49"/>
      <c r="AJ16" s="49"/>
      <c r="AK16" s="49"/>
      <c r="AL16" s="49"/>
      <c r="AM16" s="49"/>
      <c r="AN16" s="50"/>
    </row>
    <row r="17" hidden="1">
      <c r="A17" s="51" t="str">
        <f t="shared" si="2"/>
        <v>E904</v>
      </c>
      <c r="B17" s="52" t="str">
        <f>IFERROR(__xludf.DUMMYFUNCTION("REGEXREPLACE($H17, ""(?i)^8301(E000|E100|E200|E300)?"", """")"),"E90400DF0EFD")</f>
        <v>E90400DF0EFD</v>
      </c>
      <c r="C17" s="65" t="s">
        <v>198</v>
      </c>
      <c r="D17" s="53"/>
      <c r="E17" s="65" t="s">
        <v>106</v>
      </c>
      <c r="F17" s="65" t="s">
        <v>107</v>
      </c>
      <c r="G17" s="67">
        <v>46220.0</v>
      </c>
      <c r="H17" s="68" t="s">
        <v>124</v>
      </c>
      <c r="I17" s="53"/>
      <c r="J17" s="57" t="str">
        <f t="shared" si="3"/>
        <v>0x04</v>
      </c>
      <c r="K17" s="58" t="str">
        <f t="shared" si="4"/>
        <v>0x00</v>
      </c>
      <c r="L17" s="58" t="str">
        <f t="shared" si="5"/>
        <v>0xDF</v>
      </c>
      <c r="M17" s="59">
        <v>1.0</v>
      </c>
      <c r="N17" s="59" t="str">
        <f t="shared" si="10"/>
        <v>0x0E</v>
      </c>
      <c r="O17" s="71" t="str">
        <f t="shared" si="11"/>
        <v>0xFD</v>
      </c>
      <c r="P17" s="71"/>
      <c r="Q17" s="71"/>
      <c r="R17" s="59"/>
      <c r="S17" s="71"/>
      <c r="T17" s="71"/>
      <c r="U17" s="71"/>
      <c r="V17" s="63"/>
      <c r="W17" s="63"/>
      <c r="X17" s="63"/>
      <c r="Y17" s="63"/>
      <c r="Z17" s="63"/>
      <c r="AA17" s="63"/>
      <c r="AB17" s="63"/>
      <c r="AC17" s="63"/>
      <c r="AD17" s="63"/>
      <c r="AE17" s="63"/>
      <c r="AF17" s="63"/>
      <c r="AG17" s="63"/>
      <c r="AH17" s="63"/>
      <c r="AI17" s="63"/>
      <c r="AJ17" s="63"/>
      <c r="AK17" s="63"/>
      <c r="AL17" s="63"/>
      <c r="AM17" s="63"/>
      <c r="AN17" s="66"/>
    </row>
    <row r="18" hidden="1">
      <c r="A18" s="33" t="str">
        <f t="shared" si="2"/>
        <v>E904</v>
      </c>
      <c r="B18" s="34" t="str">
        <f>IFERROR(__xludf.DUMMYFUNCTION("REGEXREPLACE($H18, ""(?i)^8301(E000|E100|E200|E300)?"", """")"),"E90400EF0EE4")</f>
        <v>E90400EF0EE4</v>
      </c>
      <c r="C18" s="36" t="s">
        <v>198</v>
      </c>
      <c r="D18" s="35"/>
      <c r="E18" s="36" t="s">
        <v>106</v>
      </c>
      <c r="F18" s="36" t="s">
        <v>107</v>
      </c>
      <c r="G18" s="37">
        <v>46220.0</v>
      </c>
      <c r="H18" s="38" t="s">
        <v>125</v>
      </c>
      <c r="I18" s="35"/>
      <c r="J18" s="39" t="str">
        <f t="shared" si="3"/>
        <v>0x04</v>
      </c>
      <c r="K18" s="40" t="str">
        <f t="shared" si="4"/>
        <v>0x00</v>
      </c>
      <c r="L18" s="40" t="str">
        <f t="shared" si="5"/>
        <v>0xEF</v>
      </c>
      <c r="M18" s="42">
        <v>1.0</v>
      </c>
      <c r="N18" s="42" t="str">
        <f t="shared" si="10"/>
        <v>0x0E</v>
      </c>
      <c r="O18" s="48" t="str">
        <f t="shared" si="11"/>
        <v>0xE4</v>
      </c>
      <c r="P18" s="48"/>
      <c r="Q18" s="48"/>
      <c r="R18" s="42"/>
      <c r="S18" s="48"/>
      <c r="T18" s="48"/>
      <c r="U18" s="48"/>
      <c r="V18" s="49"/>
      <c r="W18" s="49"/>
      <c r="X18" s="49"/>
      <c r="Y18" s="49"/>
      <c r="Z18" s="49"/>
      <c r="AA18" s="49"/>
      <c r="AB18" s="49"/>
      <c r="AC18" s="49"/>
      <c r="AD18" s="49"/>
      <c r="AE18" s="49"/>
      <c r="AF18" s="49"/>
      <c r="AG18" s="49"/>
      <c r="AH18" s="49"/>
      <c r="AI18" s="49"/>
      <c r="AJ18" s="49"/>
      <c r="AK18" s="49"/>
      <c r="AL18" s="49"/>
      <c r="AM18" s="49"/>
      <c r="AN18" s="50"/>
    </row>
    <row r="19" hidden="1">
      <c r="A19" s="51" t="str">
        <f t="shared" si="2"/>
        <v>E904</v>
      </c>
      <c r="B19" s="52" t="str">
        <f>IFERROR(__xludf.DUMMYFUNCTION("REGEXREPLACE($H19, ""(?i)^8301(E000|E100|E200|E300)?"", """")"),"E90400EF0EFD")</f>
        <v>E90400EF0EFD</v>
      </c>
      <c r="C19" s="65" t="s">
        <v>198</v>
      </c>
      <c r="D19" s="53"/>
      <c r="E19" s="65" t="s">
        <v>106</v>
      </c>
      <c r="F19" s="65" t="s">
        <v>107</v>
      </c>
      <c r="G19" s="67">
        <v>46220.0</v>
      </c>
      <c r="H19" s="68" t="s">
        <v>126</v>
      </c>
      <c r="I19" s="53"/>
      <c r="J19" s="57" t="str">
        <f t="shared" si="3"/>
        <v>0x04</v>
      </c>
      <c r="K19" s="58" t="str">
        <f t="shared" si="4"/>
        <v>0x00</v>
      </c>
      <c r="L19" s="58" t="str">
        <f t="shared" si="5"/>
        <v>0xEF</v>
      </c>
      <c r="M19" s="59">
        <v>1.0</v>
      </c>
      <c r="N19" s="59" t="str">
        <f t="shared" si="10"/>
        <v>0x0E</v>
      </c>
      <c r="O19" s="71" t="str">
        <f t="shared" si="11"/>
        <v>0xFD</v>
      </c>
      <c r="P19" s="71"/>
      <c r="Q19" s="71"/>
      <c r="R19" s="59"/>
      <c r="S19" s="71"/>
      <c r="T19" s="71"/>
      <c r="U19" s="71"/>
      <c r="V19" s="63"/>
      <c r="W19" s="63"/>
      <c r="X19" s="63"/>
      <c r="Y19" s="63"/>
      <c r="Z19" s="63"/>
      <c r="AA19" s="63"/>
      <c r="AB19" s="63"/>
      <c r="AC19" s="63"/>
      <c r="AD19" s="63"/>
      <c r="AE19" s="63"/>
      <c r="AF19" s="63"/>
      <c r="AG19" s="63"/>
      <c r="AH19" s="63"/>
      <c r="AI19" s="63"/>
      <c r="AJ19" s="63"/>
      <c r="AK19" s="63"/>
      <c r="AL19" s="63"/>
      <c r="AM19" s="63"/>
      <c r="AN19" s="66"/>
    </row>
    <row r="20" hidden="1">
      <c r="A20" s="33" t="str">
        <f t="shared" si="2"/>
        <v>E905</v>
      </c>
      <c r="B20" s="34" t="str">
        <f>IFERROR(__xludf.DUMMYFUNCTION("REGEXREPLACE($H20, ""(?i)^8301(E000|E100|E200|E300)?"", """")"),"E90500010EE4BB")</f>
        <v>E90500010EE4BB</v>
      </c>
      <c r="C20" s="36" t="s">
        <v>198</v>
      </c>
      <c r="D20" s="35"/>
      <c r="E20" s="36" t="s">
        <v>106</v>
      </c>
      <c r="F20" s="36" t="s">
        <v>107</v>
      </c>
      <c r="G20" s="37">
        <v>46220.0</v>
      </c>
      <c r="H20" s="38" t="s">
        <v>131</v>
      </c>
      <c r="I20" s="35"/>
      <c r="J20" s="39" t="str">
        <f t="shared" si="3"/>
        <v>0x05</v>
      </c>
      <c r="K20" s="40" t="str">
        <f t="shared" si="4"/>
        <v>0x00</v>
      </c>
      <c r="L20" s="40" t="str">
        <f t="shared" si="5"/>
        <v>0x01</v>
      </c>
      <c r="M20" s="42">
        <v>1.0</v>
      </c>
      <c r="N20" s="42" t="str">
        <f t="shared" si="10"/>
        <v>0x0E</v>
      </c>
      <c r="O20" s="48" t="str">
        <f t="shared" si="11"/>
        <v>0xE4</v>
      </c>
      <c r="P20" s="48"/>
      <c r="Q20" s="48"/>
      <c r="R20" s="42"/>
      <c r="S20" s="48"/>
      <c r="T20" s="48"/>
      <c r="U20" s="48"/>
      <c r="V20" s="49"/>
      <c r="W20" s="49"/>
      <c r="X20" s="49"/>
      <c r="Y20" s="49"/>
      <c r="Z20" s="49"/>
      <c r="AA20" s="49"/>
      <c r="AB20" s="49"/>
      <c r="AC20" s="49"/>
      <c r="AD20" s="49"/>
      <c r="AE20" s="49"/>
      <c r="AF20" s="49"/>
      <c r="AG20" s="49"/>
      <c r="AH20" s="49"/>
      <c r="AI20" s="49"/>
      <c r="AJ20" s="49"/>
      <c r="AK20" s="49"/>
      <c r="AL20" s="49"/>
      <c r="AM20" s="49"/>
      <c r="AN20" s="75" t="str">
        <f t="shared" ref="AN20:AN51" si="12">"0x"&amp;MID($B20,13,2)</f>
        <v>0xBB</v>
      </c>
    </row>
    <row r="21" hidden="1">
      <c r="A21" s="51" t="str">
        <f t="shared" si="2"/>
        <v>E905</v>
      </c>
      <c r="B21" s="52" t="str">
        <f>IFERROR(__xludf.DUMMYFUNCTION("REGEXREPLACE($H21, ""(?i)^8301(E000|E100|E200|E300)?"", """")"),"E90500010EFDB0")</f>
        <v>E90500010EFDB0</v>
      </c>
      <c r="C21" s="65" t="s">
        <v>198</v>
      </c>
      <c r="D21" s="53"/>
      <c r="E21" s="65" t="s">
        <v>75</v>
      </c>
      <c r="F21" s="65" t="s">
        <v>120</v>
      </c>
      <c r="G21" s="67">
        <v>46219.0</v>
      </c>
      <c r="H21" s="68" t="s">
        <v>132</v>
      </c>
      <c r="I21" s="53"/>
      <c r="J21" s="57" t="str">
        <f t="shared" si="3"/>
        <v>0x05</v>
      </c>
      <c r="K21" s="58" t="str">
        <f t="shared" si="4"/>
        <v>0x00</v>
      </c>
      <c r="L21" s="58" t="str">
        <f t="shared" si="5"/>
        <v>0x01</v>
      </c>
      <c r="M21" s="59">
        <v>1.0</v>
      </c>
      <c r="N21" s="59" t="str">
        <f t="shared" si="10"/>
        <v>0x0E</v>
      </c>
      <c r="O21" s="71" t="str">
        <f t="shared" si="11"/>
        <v>0xFD</v>
      </c>
      <c r="P21" s="71"/>
      <c r="Q21" s="71"/>
      <c r="R21" s="59"/>
      <c r="S21" s="71"/>
      <c r="T21" s="71"/>
      <c r="U21" s="71"/>
      <c r="V21" s="63"/>
      <c r="W21" s="63"/>
      <c r="X21" s="63"/>
      <c r="Y21" s="63"/>
      <c r="Z21" s="63"/>
      <c r="AA21" s="63"/>
      <c r="AB21" s="63"/>
      <c r="AC21" s="63"/>
      <c r="AD21" s="63"/>
      <c r="AE21" s="63"/>
      <c r="AF21" s="63"/>
      <c r="AG21" s="63"/>
      <c r="AH21" s="63"/>
      <c r="AI21" s="63"/>
      <c r="AJ21" s="63"/>
      <c r="AK21" s="63"/>
      <c r="AL21" s="63"/>
      <c r="AM21" s="63"/>
      <c r="AN21" s="88" t="str">
        <f t="shared" si="12"/>
        <v>0xB0</v>
      </c>
    </row>
    <row r="22" hidden="1">
      <c r="A22" s="33" t="str">
        <f t="shared" si="2"/>
        <v>E905</v>
      </c>
      <c r="B22" s="34" t="str">
        <f>IFERROR(__xludf.DUMMYFUNCTION("REGEXREPLACE($H22, ""(?i)^8301(E000|E100|E200|E300)?"", """")"),"E90500110EE4B0")</f>
        <v>E90500110EE4B0</v>
      </c>
      <c r="C22" s="36" t="s">
        <v>198</v>
      </c>
      <c r="D22" s="35"/>
      <c r="E22" s="36" t="s">
        <v>75</v>
      </c>
      <c r="F22" s="36" t="s">
        <v>76</v>
      </c>
      <c r="G22" s="37">
        <v>46208.0</v>
      </c>
      <c r="H22" s="38" t="s">
        <v>133</v>
      </c>
      <c r="I22" s="35"/>
      <c r="J22" s="39" t="str">
        <f t="shared" si="3"/>
        <v>0x05</v>
      </c>
      <c r="K22" s="40" t="str">
        <f t="shared" si="4"/>
        <v>0x00</v>
      </c>
      <c r="L22" s="40" t="str">
        <f t="shared" si="5"/>
        <v>0x11</v>
      </c>
      <c r="M22" s="42">
        <v>1.0</v>
      </c>
      <c r="N22" s="42" t="str">
        <f t="shared" si="10"/>
        <v>0x0E</v>
      </c>
      <c r="O22" s="48" t="str">
        <f t="shared" si="11"/>
        <v>0xE4</v>
      </c>
      <c r="P22" s="48"/>
      <c r="Q22" s="48"/>
      <c r="R22" s="42"/>
      <c r="S22" s="48"/>
      <c r="T22" s="48"/>
      <c r="U22" s="48"/>
      <c r="V22" s="49"/>
      <c r="W22" s="49"/>
      <c r="X22" s="49"/>
      <c r="Y22" s="49"/>
      <c r="Z22" s="49"/>
      <c r="AA22" s="49"/>
      <c r="AB22" s="49"/>
      <c r="AC22" s="49"/>
      <c r="AD22" s="49"/>
      <c r="AE22" s="49"/>
      <c r="AF22" s="49"/>
      <c r="AG22" s="49"/>
      <c r="AH22" s="49"/>
      <c r="AI22" s="49"/>
      <c r="AJ22" s="49"/>
      <c r="AK22" s="49"/>
      <c r="AL22" s="49"/>
      <c r="AM22" s="49"/>
      <c r="AN22" s="75" t="str">
        <f t="shared" si="12"/>
        <v>0xB0</v>
      </c>
    </row>
    <row r="23" hidden="1">
      <c r="A23" s="51" t="str">
        <f t="shared" si="2"/>
        <v>E905</v>
      </c>
      <c r="B23" s="52" t="str">
        <f>IFERROR(__xludf.DUMMYFUNCTION("REGEXREPLACE($H23, ""(?i)^8301(E000|E100|E200|E300)?"", """")"),"E90500110EEFB0")</f>
        <v>E90500110EEFB0</v>
      </c>
      <c r="C23" s="65" t="s">
        <v>198</v>
      </c>
      <c r="D23" s="53"/>
      <c r="E23" s="65" t="s">
        <v>75</v>
      </c>
      <c r="F23" s="65" t="s">
        <v>120</v>
      </c>
      <c r="G23" s="67">
        <v>46219.0</v>
      </c>
      <c r="H23" s="68" t="s">
        <v>134</v>
      </c>
      <c r="I23" s="53"/>
      <c r="J23" s="57" t="str">
        <f t="shared" si="3"/>
        <v>0x05</v>
      </c>
      <c r="K23" s="58" t="str">
        <f t="shared" si="4"/>
        <v>0x00</v>
      </c>
      <c r="L23" s="58" t="str">
        <f t="shared" si="5"/>
        <v>0x11</v>
      </c>
      <c r="M23" s="59">
        <v>1.0</v>
      </c>
      <c r="N23" s="59" t="str">
        <f t="shared" si="10"/>
        <v>0x0E</v>
      </c>
      <c r="O23" s="71" t="str">
        <f t="shared" si="11"/>
        <v>0xEF</v>
      </c>
      <c r="P23" s="71"/>
      <c r="Q23" s="71"/>
      <c r="R23" s="59"/>
      <c r="S23" s="71"/>
      <c r="T23" s="71"/>
      <c r="U23" s="71"/>
      <c r="V23" s="63"/>
      <c r="W23" s="63"/>
      <c r="X23" s="63"/>
      <c r="Y23" s="63"/>
      <c r="Z23" s="63"/>
      <c r="AA23" s="63"/>
      <c r="AB23" s="63"/>
      <c r="AC23" s="63"/>
      <c r="AD23" s="63"/>
      <c r="AE23" s="63"/>
      <c r="AF23" s="63"/>
      <c r="AG23" s="63"/>
      <c r="AH23" s="63"/>
      <c r="AI23" s="63"/>
      <c r="AJ23" s="63"/>
      <c r="AK23" s="63"/>
      <c r="AL23" s="63"/>
      <c r="AM23" s="63"/>
      <c r="AN23" s="88" t="str">
        <f t="shared" si="12"/>
        <v>0xB0</v>
      </c>
    </row>
    <row r="24" hidden="1">
      <c r="A24" s="33" t="str">
        <f t="shared" si="2"/>
        <v>E905</v>
      </c>
      <c r="B24" s="34" t="str">
        <f>IFERROR(__xludf.DUMMYFUNCTION("REGEXREPLACE($H24, ""(?i)^8301(E000|E100|E200|E300)?"", """")"),"E90500110EF2BB")</f>
        <v>E90500110EF2BB</v>
      </c>
      <c r="C24" s="36" t="s">
        <v>198</v>
      </c>
      <c r="D24" s="35"/>
      <c r="E24" s="36" t="s">
        <v>106</v>
      </c>
      <c r="F24" s="36" t="s">
        <v>107</v>
      </c>
      <c r="G24" s="37">
        <v>46220.0</v>
      </c>
      <c r="H24" s="38" t="s">
        <v>135</v>
      </c>
      <c r="I24" s="35"/>
      <c r="J24" s="39" t="str">
        <f t="shared" si="3"/>
        <v>0x05</v>
      </c>
      <c r="K24" s="40" t="str">
        <f t="shared" si="4"/>
        <v>0x00</v>
      </c>
      <c r="L24" s="40" t="str">
        <f t="shared" si="5"/>
        <v>0x11</v>
      </c>
      <c r="M24" s="42">
        <v>1.0</v>
      </c>
      <c r="N24" s="42" t="str">
        <f t="shared" si="10"/>
        <v>0x0E</v>
      </c>
      <c r="O24" s="48" t="str">
        <f t="shared" si="11"/>
        <v>0xF2</v>
      </c>
      <c r="P24" s="48"/>
      <c r="Q24" s="48"/>
      <c r="R24" s="42"/>
      <c r="S24" s="48"/>
      <c r="T24" s="48"/>
      <c r="U24" s="48"/>
      <c r="V24" s="49"/>
      <c r="W24" s="49"/>
      <c r="X24" s="49"/>
      <c r="Y24" s="49"/>
      <c r="Z24" s="49"/>
      <c r="AA24" s="49"/>
      <c r="AB24" s="49"/>
      <c r="AC24" s="49"/>
      <c r="AD24" s="49"/>
      <c r="AE24" s="49"/>
      <c r="AF24" s="49"/>
      <c r="AG24" s="49"/>
      <c r="AH24" s="49"/>
      <c r="AI24" s="49"/>
      <c r="AJ24" s="49"/>
      <c r="AK24" s="49"/>
      <c r="AL24" s="49"/>
      <c r="AM24" s="49"/>
      <c r="AN24" s="75" t="str">
        <f t="shared" si="12"/>
        <v>0xBB</v>
      </c>
    </row>
    <row r="25" hidden="1">
      <c r="A25" s="51" t="str">
        <f t="shared" si="2"/>
        <v>E905</v>
      </c>
      <c r="B25" s="52" t="str">
        <f>IFERROR(__xludf.DUMMYFUNCTION("REGEXREPLACE($H25, ""(?i)^8301(E000|E100|E200|E300)?"", """")"),"E90500110EF5BB")</f>
        <v>E90500110EF5BB</v>
      </c>
      <c r="C25" s="65" t="s">
        <v>198</v>
      </c>
      <c r="D25" s="53"/>
      <c r="E25" s="65" t="s">
        <v>129</v>
      </c>
      <c r="F25" s="65" t="s">
        <v>137</v>
      </c>
      <c r="G25" s="67">
        <v>46207.0</v>
      </c>
      <c r="H25" s="56" t="s">
        <v>136</v>
      </c>
      <c r="I25" s="53"/>
      <c r="J25" s="57" t="str">
        <f t="shared" si="3"/>
        <v>0x05</v>
      </c>
      <c r="K25" s="58" t="str">
        <f t="shared" si="4"/>
        <v>0x00</v>
      </c>
      <c r="L25" s="58" t="str">
        <f t="shared" si="5"/>
        <v>0x11</v>
      </c>
      <c r="M25" s="59">
        <v>1.0</v>
      </c>
      <c r="N25" s="59" t="str">
        <f t="shared" si="10"/>
        <v>0x0E</v>
      </c>
      <c r="O25" s="71" t="str">
        <f t="shared" si="11"/>
        <v>0xF5</v>
      </c>
      <c r="P25" s="71"/>
      <c r="Q25" s="71"/>
      <c r="R25" s="59"/>
      <c r="S25" s="71"/>
      <c r="T25" s="71"/>
      <c r="U25" s="71"/>
      <c r="V25" s="63"/>
      <c r="W25" s="63"/>
      <c r="X25" s="63"/>
      <c r="Y25" s="63"/>
      <c r="Z25" s="63"/>
      <c r="AA25" s="63"/>
      <c r="AB25" s="63"/>
      <c r="AC25" s="63"/>
      <c r="AD25" s="63"/>
      <c r="AE25" s="63"/>
      <c r="AF25" s="63"/>
      <c r="AG25" s="63"/>
      <c r="AH25" s="63"/>
      <c r="AI25" s="63"/>
      <c r="AJ25" s="63"/>
      <c r="AK25" s="63"/>
      <c r="AL25" s="63"/>
      <c r="AM25" s="63"/>
      <c r="AN25" s="88" t="str">
        <f t="shared" si="12"/>
        <v>0xBB</v>
      </c>
    </row>
    <row r="26" hidden="1">
      <c r="A26" s="33" t="str">
        <f t="shared" si="2"/>
        <v>E905</v>
      </c>
      <c r="B26" s="34" t="str">
        <f>IFERROR(__xludf.DUMMYFUNCTION("REGEXREPLACE($H26, ""(?i)^8301(E000|E100|E200|E300)?"", """")"),"E90500110EF7B0")</f>
        <v>E90500110EF7B0</v>
      </c>
      <c r="C26" s="36" t="s">
        <v>198</v>
      </c>
      <c r="D26" s="35"/>
      <c r="E26" s="36" t="s">
        <v>75</v>
      </c>
      <c r="F26" s="36" t="s">
        <v>76</v>
      </c>
      <c r="G26" s="37">
        <v>46208.0</v>
      </c>
      <c r="H26" s="38" t="s">
        <v>138</v>
      </c>
      <c r="I26" s="35"/>
      <c r="J26" s="39" t="str">
        <f t="shared" si="3"/>
        <v>0x05</v>
      </c>
      <c r="K26" s="40" t="str">
        <f t="shared" si="4"/>
        <v>0x00</v>
      </c>
      <c r="L26" s="40" t="str">
        <f t="shared" si="5"/>
        <v>0x11</v>
      </c>
      <c r="M26" s="42">
        <v>1.0</v>
      </c>
      <c r="N26" s="42" t="str">
        <f t="shared" si="10"/>
        <v>0x0E</v>
      </c>
      <c r="O26" s="48" t="str">
        <f t="shared" si="11"/>
        <v>0xF7</v>
      </c>
      <c r="P26" s="48"/>
      <c r="Q26" s="48"/>
      <c r="R26" s="42"/>
      <c r="S26" s="48"/>
      <c r="T26" s="48"/>
      <c r="U26" s="48"/>
      <c r="V26" s="49"/>
      <c r="W26" s="49"/>
      <c r="X26" s="49"/>
      <c r="Y26" s="49"/>
      <c r="Z26" s="49"/>
      <c r="AA26" s="49"/>
      <c r="AB26" s="49"/>
      <c r="AC26" s="49"/>
      <c r="AD26" s="49"/>
      <c r="AE26" s="49"/>
      <c r="AF26" s="49"/>
      <c r="AG26" s="49"/>
      <c r="AH26" s="49"/>
      <c r="AI26" s="49"/>
      <c r="AJ26" s="49"/>
      <c r="AK26" s="49"/>
      <c r="AL26" s="49"/>
      <c r="AM26" s="49"/>
      <c r="AN26" s="75" t="str">
        <f t="shared" si="12"/>
        <v>0xB0</v>
      </c>
    </row>
    <row r="27" hidden="1">
      <c r="A27" s="51" t="str">
        <f t="shared" si="2"/>
        <v>E905</v>
      </c>
      <c r="B27" s="52" t="str">
        <f>IFERROR(__xludf.DUMMYFUNCTION("REGEXREPLACE($H27, ""(?i)^8301(E000|E100|E200|E300)?"", """")"),"E90500110EFBBB")</f>
        <v>E90500110EFBBB</v>
      </c>
      <c r="C27" s="65" t="s">
        <v>198</v>
      </c>
      <c r="D27" s="53"/>
      <c r="E27" s="65" t="s">
        <v>129</v>
      </c>
      <c r="F27" s="65" t="s">
        <v>137</v>
      </c>
      <c r="G27" s="67">
        <v>46207.0</v>
      </c>
      <c r="H27" s="56" t="s">
        <v>139</v>
      </c>
      <c r="I27" s="53"/>
      <c r="J27" s="57" t="str">
        <f t="shared" si="3"/>
        <v>0x05</v>
      </c>
      <c r="K27" s="58" t="str">
        <f t="shared" si="4"/>
        <v>0x00</v>
      </c>
      <c r="L27" s="58" t="str">
        <f t="shared" si="5"/>
        <v>0x11</v>
      </c>
      <c r="M27" s="59">
        <v>1.0</v>
      </c>
      <c r="N27" s="59" t="str">
        <f t="shared" si="10"/>
        <v>0x0E</v>
      </c>
      <c r="O27" s="71" t="str">
        <f t="shared" si="11"/>
        <v>0xFB</v>
      </c>
      <c r="P27" s="71"/>
      <c r="Q27" s="71"/>
      <c r="R27" s="59"/>
      <c r="S27" s="71"/>
      <c r="T27" s="71"/>
      <c r="U27" s="71"/>
      <c r="V27" s="63"/>
      <c r="W27" s="63"/>
      <c r="X27" s="63"/>
      <c r="Y27" s="63"/>
      <c r="Z27" s="63"/>
      <c r="AA27" s="63"/>
      <c r="AB27" s="63"/>
      <c r="AC27" s="63"/>
      <c r="AD27" s="63"/>
      <c r="AE27" s="63"/>
      <c r="AF27" s="63"/>
      <c r="AG27" s="63"/>
      <c r="AH27" s="63"/>
      <c r="AI27" s="63"/>
      <c r="AJ27" s="63"/>
      <c r="AK27" s="63"/>
      <c r="AL27" s="63"/>
      <c r="AM27" s="63"/>
      <c r="AN27" s="88" t="str">
        <f t="shared" si="12"/>
        <v>0xBB</v>
      </c>
    </row>
    <row r="28" hidden="1">
      <c r="A28" s="33" t="str">
        <f t="shared" si="2"/>
        <v>E905</v>
      </c>
      <c r="B28" s="34" t="str">
        <f>IFERROR(__xludf.DUMMYFUNCTION("REGEXREPLACE($H28, ""(?i)^8301(E000|E100|E200|E300)?"", """")"),"E90500110EFCB0")</f>
        <v>E90500110EFCB0</v>
      </c>
      <c r="C28" s="36" t="s">
        <v>198</v>
      </c>
      <c r="D28" s="35"/>
      <c r="E28" s="36" t="s">
        <v>75</v>
      </c>
      <c r="F28" s="36" t="s">
        <v>76</v>
      </c>
      <c r="G28" s="37">
        <v>46228.0</v>
      </c>
      <c r="H28" s="38" t="s">
        <v>140</v>
      </c>
      <c r="I28" s="35"/>
      <c r="J28" s="39" t="str">
        <f t="shared" si="3"/>
        <v>0x05</v>
      </c>
      <c r="K28" s="40" t="str">
        <f t="shared" si="4"/>
        <v>0x00</v>
      </c>
      <c r="L28" s="40" t="str">
        <f t="shared" si="5"/>
        <v>0x11</v>
      </c>
      <c r="M28" s="42">
        <v>1.0</v>
      </c>
      <c r="N28" s="42" t="str">
        <f t="shared" si="10"/>
        <v>0x0E</v>
      </c>
      <c r="O28" s="48" t="str">
        <f t="shared" si="11"/>
        <v>0xFC</v>
      </c>
      <c r="P28" s="48"/>
      <c r="Q28" s="48"/>
      <c r="R28" s="42"/>
      <c r="S28" s="48"/>
      <c r="T28" s="48"/>
      <c r="U28" s="48"/>
      <c r="V28" s="49"/>
      <c r="W28" s="49"/>
      <c r="X28" s="49"/>
      <c r="Y28" s="49"/>
      <c r="Z28" s="49"/>
      <c r="AA28" s="49"/>
      <c r="AB28" s="49"/>
      <c r="AC28" s="49"/>
      <c r="AD28" s="49"/>
      <c r="AE28" s="49"/>
      <c r="AF28" s="49"/>
      <c r="AG28" s="49"/>
      <c r="AH28" s="49"/>
      <c r="AI28" s="49"/>
      <c r="AJ28" s="49"/>
      <c r="AK28" s="49"/>
      <c r="AL28" s="49"/>
      <c r="AM28" s="49"/>
      <c r="AN28" s="75" t="str">
        <f t="shared" si="12"/>
        <v>0xB0</v>
      </c>
    </row>
    <row r="29" hidden="1">
      <c r="A29" s="51" t="str">
        <f t="shared" si="2"/>
        <v>E905</v>
      </c>
      <c r="B29" s="52" t="str">
        <f>IFERROR(__xludf.DUMMYFUNCTION("REGEXREPLACE($H29, ""(?i)^8301(E000|E100|E200|E300)?"", """")"),"E90500110EFCB1")</f>
        <v>E90500110EFCB1</v>
      </c>
      <c r="C29" s="65" t="s">
        <v>198</v>
      </c>
      <c r="D29" s="53"/>
      <c r="E29" s="65" t="s">
        <v>106</v>
      </c>
      <c r="F29" s="65" t="s">
        <v>107</v>
      </c>
      <c r="G29" s="67">
        <v>46220.0</v>
      </c>
      <c r="H29" s="68" t="s">
        <v>141</v>
      </c>
      <c r="I29" s="53"/>
      <c r="J29" s="57" t="str">
        <f t="shared" si="3"/>
        <v>0x05</v>
      </c>
      <c r="K29" s="58" t="str">
        <f t="shared" si="4"/>
        <v>0x00</v>
      </c>
      <c r="L29" s="58" t="str">
        <f t="shared" si="5"/>
        <v>0x11</v>
      </c>
      <c r="M29" s="59">
        <v>1.0</v>
      </c>
      <c r="N29" s="59" t="str">
        <f t="shared" si="10"/>
        <v>0x0E</v>
      </c>
      <c r="O29" s="71" t="str">
        <f t="shared" si="11"/>
        <v>0xFC</v>
      </c>
      <c r="P29" s="71"/>
      <c r="Q29" s="71"/>
      <c r="R29" s="59"/>
      <c r="S29" s="71"/>
      <c r="T29" s="71"/>
      <c r="U29" s="71"/>
      <c r="V29" s="63"/>
      <c r="W29" s="63"/>
      <c r="X29" s="63"/>
      <c r="Y29" s="63"/>
      <c r="Z29" s="63"/>
      <c r="AA29" s="63"/>
      <c r="AB29" s="63"/>
      <c r="AC29" s="63"/>
      <c r="AD29" s="63"/>
      <c r="AE29" s="63"/>
      <c r="AF29" s="63"/>
      <c r="AG29" s="63"/>
      <c r="AH29" s="63"/>
      <c r="AI29" s="63"/>
      <c r="AJ29" s="63"/>
      <c r="AK29" s="63"/>
      <c r="AL29" s="63"/>
      <c r="AM29" s="63"/>
      <c r="AN29" s="88" t="str">
        <f t="shared" si="12"/>
        <v>0xB1</v>
      </c>
    </row>
    <row r="30" hidden="1">
      <c r="A30" s="33" t="str">
        <f t="shared" si="2"/>
        <v>E905</v>
      </c>
      <c r="B30" s="34" t="str">
        <f>IFERROR(__xludf.DUMMYFUNCTION("REGEXREPLACE($H30, ""(?i)^8301(E000|E100|E200|E300)?"", """")"),"E90500120EF5BB")</f>
        <v>E90500120EF5BB</v>
      </c>
      <c r="C30" s="36" t="s">
        <v>198</v>
      </c>
      <c r="D30" s="35"/>
      <c r="E30" s="36" t="s">
        <v>75</v>
      </c>
      <c r="F30" s="36" t="s">
        <v>143</v>
      </c>
      <c r="G30" s="37">
        <v>46208.0</v>
      </c>
      <c r="H30" s="38" t="s">
        <v>142</v>
      </c>
      <c r="I30" s="35"/>
      <c r="J30" s="39" t="str">
        <f t="shared" si="3"/>
        <v>0x05</v>
      </c>
      <c r="K30" s="40" t="str">
        <f t="shared" si="4"/>
        <v>0x00</v>
      </c>
      <c r="L30" s="40" t="str">
        <f t="shared" si="5"/>
        <v>0x12</v>
      </c>
      <c r="M30" s="42">
        <v>1.0</v>
      </c>
      <c r="N30" s="42" t="str">
        <f t="shared" si="10"/>
        <v>0x0E</v>
      </c>
      <c r="O30" s="48" t="str">
        <f t="shared" si="11"/>
        <v>0xF5</v>
      </c>
      <c r="P30" s="48"/>
      <c r="Q30" s="48"/>
      <c r="R30" s="42"/>
      <c r="S30" s="48"/>
      <c r="T30" s="48"/>
      <c r="U30" s="48"/>
      <c r="V30" s="49"/>
      <c r="W30" s="49"/>
      <c r="X30" s="49"/>
      <c r="Y30" s="49"/>
      <c r="Z30" s="49"/>
      <c r="AA30" s="49"/>
      <c r="AB30" s="49"/>
      <c r="AC30" s="49"/>
      <c r="AD30" s="49"/>
      <c r="AE30" s="49"/>
      <c r="AF30" s="49"/>
      <c r="AG30" s="49"/>
      <c r="AH30" s="49"/>
      <c r="AI30" s="49"/>
      <c r="AJ30" s="49"/>
      <c r="AK30" s="49"/>
      <c r="AL30" s="49"/>
      <c r="AM30" s="49"/>
      <c r="AN30" s="75" t="str">
        <f t="shared" si="12"/>
        <v>0xBB</v>
      </c>
    </row>
    <row r="31" hidden="1">
      <c r="A31" s="51" t="str">
        <f t="shared" si="2"/>
        <v>E905</v>
      </c>
      <c r="B31" s="52" t="str">
        <f>IFERROR(__xludf.DUMMYFUNCTION("REGEXREPLACE($H31, ""(?i)^8301(E000|E100|E200|E300)?"", """")"),"E90500140EFCB0")</f>
        <v>E90500140EFCB0</v>
      </c>
      <c r="C31" s="65" t="s">
        <v>198</v>
      </c>
      <c r="D31" s="53"/>
      <c r="E31" s="65" t="s">
        <v>75</v>
      </c>
      <c r="F31" s="65" t="s">
        <v>76</v>
      </c>
      <c r="G31" s="67">
        <v>46219.0</v>
      </c>
      <c r="H31" s="68" t="s">
        <v>144</v>
      </c>
      <c r="I31" s="53"/>
      <c r="J31" s="57" t="str">
        <f t="shared" si="3"/>
        <v>0x05</v>
      </c>
      <c r="K31" s="58" t="str">
        <f t="shared" si="4"/>
        <v>0x00</v>
      </c>
      <c r="L31" s="58" t="str">
        <f t="shared" si="5"/>
        <v>0x14</v>
      </c>
      <c r="M31" s="59">
        <v>1.0</v>
      </c>
      <c r="N31" s="59" t="str">
        <f t="shared" si="10"/>
        <v>0x0E</v>
      </c>
      <c r="O31" s="71" t="str">
        <f t="shared" si="11"/>
        <v>0xFC</v>
      </c>
      <c r="P31" s="71"/>
      <c r="Q31" s="71"/>
      <c r="R31" s="59"/>
      <c r="S31" s="71"/>
      <c r="T31" s="71"/>
      <c r="U31" s="71"/>
      <c r="V31" s="63"/>
      <c r="W31" s="63"/>
      <c r="X31" s="63"/>
      <c r="Y31" s="63"/>
      <c r="Z31" s="63"/>
      <c r="AA31" s="63"/>
      <c r="AB31" s="63"/>
      <c r="AC31" s="63"/>
      <c r="AD31" s="63"/>
      <c r="AE31" s="63"/>
      <c r="AF31" s="63"/>
      <c r="AG31" s="63"/>
      <c r="AH31" s="63"/>
      <c r="AI31" s="63"/>
      <c r="AJ31" s="63"/>
      <c r="AK31" s="63"/>
      <c r="AL31" s="63"/>
      <c r="AM31" s="63"/>
      <c r="AN31" s="88" t="str">
        <f t="shared" si="12"/>
        <v>0xB0</v>
      </c>
    </row>
    <row r="32" hidden="1">
      <c r="A32" s="33" t="str">
        <f t="shared" si="2"/>
        <v>E905</v>
      </c>
      <c r="B32" s="34" t="str">
        <f>IFERROR(__xludf.DUMMYFUNCTION("REGEXREPLACE($H32, ""(?i)^8301(E000|E100|E200|E300)?"", """")"),"E90500150EE4B0")</f>
        <v>E90500150EE4B0</v>
      </c>
      <c r="C32" s="36" t="s">
        <v>198</v>
      </c>
      <c r="D32" s="35"/>
      <c r="E32" s="36" t="s">
        <v>75</v>
      </c>
      <c r="F32" s="36" t="s">
        <v>76</v>
      </c>
      <c r="G32" s="37">
        <v>46228.0</v>
      </c>
      <c r="H32" s="38" t="s">
        <v>145</v>
      </c>
      <c r="I32" s="35"/>
      <c r="J32" s="39" t="str">
        <f t="shared" si="3"/>
        <v>0x05</v>
      </c>
      <c r="K32" s="40" t="str">
        <f t="shared" si="4"/>
        <v>0x00</v>
      </c>
      <c r="L32" s="40" t="str">
        <f t="shared" si="5"/>
        <v>0x15</v>
      </c>
      <c r="M32" s="42">
        <v>1.0</v>
      </c>
      <c r="N32" s="42" t="str">
        <f t="shared" si="10"/>
        <v>0x0E</v>
      </c>
      <c r="O32" s="48" t="str">
        <f t="shared" si="11"/>
        <v>0xE4</v>
      </c>
      <c r="P32" s="48"/>
      <c r="Q32" s="48"/>
      <c r="R32" s="42"/>
      <c r="S32" s="48"/>
      <c r="T32" s="48"/>
      <c r="U32" s="48"/>
      <c r="V32" s="49"/>
      <c r="W32" s="49"/>
      <c r="X32" s="49"/>
      <c r="Y32" s="49"/>
      <c r="Z32" s="49"/>
      <c r="AA32" s="49"/>
      <c r="AB32" s="49"/>
      <c r="AC32" s="49"/>
      <c r="AD32" s="49"/>
      <c r="AE32" s="49"/>
      <c r="AF32" s="49"/>
      <c r="AG32" s="49"/>
      <c r="AH32" s="49"/>
      <c r="AI32" s="49"/>
      <c r="AJ32" s="49"/>
      <c r="AK32" s="49"/>
      <c r="AL32" s="49"/>
      <c r="AM32" s="49"/>
      <c r="AN32" s="75" t="str">
        <f t="shared" si="12"/>
        <v>0xB0</v>
      </c>
    </row>
    <row r="33" hidden="1">
      <c r="A33" s="51" t="str">
        <f t="shared" si="2"/>
        <v>E905</v>
      </c>
      <c r="B33" s="52" t="str">
        <f>IFERROR(__xludf.DUMMYFUNCTION("REGEXREPLACE($H33, ""(?i)^8301(E000|E100|E200|E300)?"", """")"),"E90500150EFCB0")</f>
        <v>E90500150EFCB0</v>
      </c>
      <c r="C33" s="65" t="s">
        <v>198</v>
      </c>
      <c r="D33" s="53"/>
      <c r="E33" s="54" t="s">
        <v>75</v>
      </c>
      <c r="F33" s="54" t="s">
        <v>76</v>
      </c>
      <c r="G33" s="55">
        <v>46235.0</v>
      </c>
      <c r="H33" s="56" t="s">
        <v>166</v>
      </c>
      <c r="I33" s="53"/>
      <c r="J33" s="57" t="str">
        <f t="shared" si="3"/>
        <v>0x05</v>
      </c>
      <c r="K33" s="58" t="str">
        <f t="shared" si="4"/>
        <v>0x00</v>
      </c>
      <c r="L33" s="58" t="str">
        <f t="shared" si="5"/>
        <v>0x15</v>
      </c>
      <c r="M33" s="59">
        <v>1.0</v>
      </c>
      <c r="N33" s="59" t="str">
        <f t="shared" si="10"/>
        <v>0x0E</v>
      </c>
      <c r="O33" s="71" t="str">
        <f t="shared" si="11"/>
        <v>0xFC</v>
      </c>
      <c r="P33" s="71"/>
      <c r="Q33" s="71"/>
      <c r="R33" s="59"/>
      <c r="S33" s="71"/>
      <c r="T33" s="71"/>
      <c r="U33" s="71"/>
      <c r="V33" s="63"/>
      <c r="W33" s="63"/>
      <c r="X33" s="63"/>
      <c r="Y33" s="63"/>
      <c r="Z33" s="63"/>
      <c r="AA33" s="63"/>
      <c r="AB33" s="63"/>
      <c r="AC33" s="63"/>
      <c r="AD33" s="63"/>
      <c r="AE33" s="63"/>
      <c r="AF33" s="63"/>
      <c r="AG33" s="63"/>
      <c r="AH33" s="63"/>
      <c r="AI33" s="63"/>
      <c r="AJ33" s="63"/>
      <c r="AK33" s="63"/>
      <c r="AL33" s="63"/>
      <c r="AM33" s="63"/>
      <c r="AN33" s="88" t="str">
        <f t="shared" si="12"/>
        <v>0xB0</v>
      </c>
    </row>
    <row r="34" hidden="1">
      <c r="A34" s="33" t="str">
        <f t="shared" si="2"/>
        <v>E905</v>
      </c>
      <c r="B34" s="34" t="str">
        <f>IFERROR(__xludf.DUMMYFUNCTION("REGEXREPLACE($H34, ""(?i)^8301(E000|E100|E200|E300)?"", """")"),"E90500210EEFB0")</f>
        <v>E90500210EEFB0</v>
      </c>
      <c r="C34" s="36" t="s">
        <v>198</v>
      </c>
      <c r="D34" s="35"/>
      <c r="E34" s="41" t="s">
        <v>75</v>
      </c>
      <c r="F34" s="41" t="s">
        <v>76</v>
      </c>
      <c r="G34" s="43">
        <v>46235.0</v>
      </c>
      <c r="H34" s="44" t="s">
        <v>168</v>
      </c>
      <c r="I34" s="35"/>
      <c r="J34" s="39" t="str">
        <f t="shared" si="3"/>
        <v>0x05</v>
      </c>
      <c r="K34" s="40" t="str">
        <f t="shared" si="4"/>
        <v>0x00</v>
      </c>
      <c r="L34" s="40" t="str">
        <f t="shared" si="5"/>
        <v>0x21</v>
      </c>
      <c r="M34" s="42">
        <v>1.0</v>
      </c>
      <c r="N34" s="42" t="str">
        <f t="shared" si="10"/>
        <v>0x0E</v>
      </c>
      <c r="O34" s="48" t="str">
        <f t="shared" si="11"/>
        <v>0xEF</v>
      </c>
      <c r="P34" s="48"/>
      <c r="Q34" s="48"/>
      <c r="R34" s="42"/>
      <c r="S34" s="48"/>
      <c r="T34" s="48"/>
      <c r="U34" s="48"/>
      <c r="V34" s="49"/>
      <c r="W34" s="49"/>
      <c r="X34" s="49"/>
      <c r="Y34" s="49"/>
      <c r="Z34" s="49"/>
      <c r="AA34" s="49"/>
      <c r="AB34" s="49"/>
      <c r="AC34" s="49"/>
      <c r="AD34" s="49"/>
      <c r="AE34" s="49"/>
      <c r="AF34" s="49"/>
      <c r="AG34" s="49"/>
      <c r="AH34" s="49"/>
      <c r="AI34" s="49"/>
      <c r="AJ34" s="49"/>
      <c r="AK34" s="49"/>
      <c r="AL34" s="49"/>
      <c r="AM34" s="49"/>
      <c r="AN34" s="75" t="str">
        <f t="shared" si="12"/>
        <v>0xB0</v>
      </c>
    </row>
    <row r="35" hidden="1">
      <c r="A35" s="51" t="str">
        <f t="shared" si="2"/>
        <v>E905</v>
      </c>
      <c r="B35" s="52" t="str">
        <f>IFERROR(__xludf.DUMMYFUNCTION("REGEXREPLACE($H35, ""(?i)^8301(E000|E100|E200|E300)?"", """")"),"E90500210EFBB0")</f>
        <v>E90500210EFBB0</v>
      </c>
      <c r="C35" s="65" t="s">
        <v>198</v>
      </c>
      <c r="D35" s="53"/>
      <c r="E35" s="65" t="s">
        <v>75</v>
      </c>
      <c r="F35" s="65" t="s">
        <v>120</v>
      </c>
      <c r="G35" s="67">
        <v>46228.0</v>
      </c>
      <c r="H35" s="68" t="s">
        <v>146</v>
      </c>
      <c r="I35" s="53"/>
      <c r="J35" s="57" t="str">
        <f t="shared" si="3"/>
        <v>0x05</v>
      </c>
      <c r="K35" s="58" t="str">
        <f t="shared" si="4"/>
        <v>0x00</v>
      </c>
      <c r="L35" s="58" t="str">
        <f t="shared" si="5"/>
        <v>0x21</v>
      </c>
      <c r="M35" s="59">
        <v>1.0</v>
      </c>
      <c r="N35" s="59" t="str">
        <f t="shared" si="10"/>
        <v>0x0E</v>
      </c>
      <c r="O35" s="71" t="str">
        <f t="shared" si="11"/>
        <v>0xFB</v>
      </c>
      <c r="P35" s="71"/>
      <c r="Q35" s="71"/>
      <c r="R35" s="59"/>
      <c r="S35" s="71"/>
      <c r="T35" s="71"/>
      <c r="U35" s="71"/>
      <c r="V35" s="63"/>
      <c r="W35" s="63"/>
      <c r="X35" s="63"/>
      <c r="Y35" s="63"/>
      <c r="Z35" s="63"/>
      <c r="AA35" s="63"/>
      <c r="AB35" s="63"/>
      <c r="AC35" s="63"/>
      <c r="AD35" s="63"/>
      <c r="AE35" s="63"/>
      <c r="AF35" s="63"/>
      <c r="AG35" s="63"/>
      <c r="AH35" s="63"/>
      <c r="AI35" s="63"/>
      <c r="AJ35" s="63"/>
      <c r="AK35" s="63"/>
      <c r="AL35" s="63"/>
      <c r="AM35" s="63"/>
      <c r="AN35" s="88" t="str">
        <f t="shared" si="12"/>
        <v>0xB0</v>
      </c>
    </row>
    <row r="36" hidden="1">
      <c r="A36" s="33" t="str">
        <f t="shared" si="2"/>
        <v>E905</v>
      </c>
      <c r="B36" s="34" t="str">
        <f>IFERROR(__xludf.DUMMYFUNCTION("REGEXREPLACE($H36, ""(?i)^8301(E000|E100|E200|E300)?"", """")"),"E90500210EFCB0")</f>
        <v>E90500210EFCB0</v>
      </c>
      <c r="C36" s="36" t="s">
        <v>198</v>
      </c>
      <c r="D36" s="35"/>
      <c r="E36" s="41" t="s">
        <v>75</v>
      </c>
      <c r="F36" s="41" t="s">
        <v>76</v>
      </c>
      <c r="G36" s="43">
        <v>46235.0</v>
      </c>
      <c r="H36" s="44" t="s">
        <v>147</v>
      </c>
      <c r="I36" s="35"/>
      <c r="J36" s="39" t="str">
        <f t="shared" si="3"/>
        <v>0x05</v>
      </c>
      <c r="K36" s="40" t="str">
        <f t="shared" si="4"/>
        <v>0x00</v>
      </c>
      <c r="L36" s="40" t="str">
        <f t="shared" si="5"/>
        <v>0x21</v>
      </c>
      <c r="M36" s="42">
        <v>1.0</v>
      </c>
      <c r="N36" s="42" t="str">
        <f t="shared" si="10"/>
        <v>0x0E</v>
      </c>
      <c r="O36" s="48" t="str">
        <f t="shared" si="11"/>
        <v>0xFC</v>
      </c>
      <c r="P36" s="48"/>
      <c r="Q36" s="48"/>
      <c r="R36" s="42"/>
      <c r="S36" s="48"/>
      <c r="T36" s="48"/>
      <c r="U36" s="48"/>
      <c r="V36" s="49"/>
      <c r="W36" s="49"/>
      <c r="X36" s="49"/>
      <c r="Y36" s="49"/>
      <c r="Z36" s="49"/>
      <c r="AA36" s="49"/>
      <c r="AB36" s="49"/>
      <c r="AC36" s="49"/>
      <c r="AD36" s="49"/>
      <c r="AE36" s="49"/>
      <c r="AF36" s="49"/>
      <c r="AG36" s="49"/>
      <c r="AH36" s="49"/>
      <c r="AI36" s="49"/>
      <c r="AJ36" s="49"/>
      <c r="AK36" s="49"/>
      <c r="AL36" s="49"/>
      <c r="AM36" s="49"/>
      <c r="AN36" s="75" t="str">
        <f t="shared" si="12"/>
        <v>0xB0</v>
      </c>
    </row>
    <row r="37">
      <c r="A37" s="51" t="str">
        <f t="shared" si="2"/>
        <v>E905</v>
      </c>
      <c r="B37" s="52" t="str">
        <f>IFERROR(__xludf.DUMMYFUNCTION("REGEXREPLACE($H37, ""(?i)^8301(E000|E100|E200|E300)?"", """")"),"E90500220EE2BA")</f>
        <v>E90500220EE2BA</v>
      </c>
      <c r="C37" s="65" t="s">
        <v>198</v>
      </c>
      <c r="D37" s="65"/>
      <c r="E37" s="65" t="s">
        <v>217</v>
      </c>
      <c r="F37" s="65" t="s">
        <v>218</v>
      </c>
      <c r="G37" s="67">
        <v>46244.0</v>
      </c>
      <c r="H37" s="68" t="s">
        <v>441</v>
      </c>
      <c r="I37" s="65"/>
      <c r="J37" s="57" t="str">
        <f t="shared" si="3"/>
        <v>0x05</v>
      </c>
      <c r="K37" s="58" t="str">
        <f t="shared" si="4"/>
        <v>0x00</v>
      </c>
      <c r="L37" s="58" t="str">
        <f t="shared" si="5"/>
        <v>0x22</v>
      </c>
      <c r="M37" s="59">
        <v>1.0</v>
      </c>
      <c r="N37" s="59" t="str">
        <f t="shared" si="10"/>
        <v>0x0E</v>
      </c>
      <c r="O37" s="71" t="str">
        <f t="shared" si="11"/>
        <v>0xE2</v>
      </c>
      <c r="P37" s="71"/>
      <c r="Q37" s="71"/>
      <c r="R37" s="59"/>
      <c r="S37" s="71"/>
      <c r="T37" s="71"/>
      <c r="U37" s="71"/>
      <c r="V37" s="63"/>
      <c r="W37" s="63"/>
      <c r="X37" s="63"/>
      <c r="Y37" s="63"/>
      <c r="Z37" s="63"/>
      <c r="AA37" s="63"/>
      <c r="AB37" s="63"/>
      <c r="AC37" s="63"/>
      <c r="AD37" s="63"/>
      <c r="AE37" s="63"/>
      <c r="AF37" s="63"/>
      <c r="AG37" s="63"/>
      <c r="AH37" s="63"/>
      <c r="AI37" s="63"/>
      <c r="AJ37" s="63"/>
      <c r="AK37" s="63"/>
      <c r="AL37" s="63"/>
      <c r="AM37" s="63"/>
      <c r="AN37" s="88" t="str">
        <f t="shared" si="12"/>
        <v>0xBA</v>
      </c>
    </row>
    <row r="38">
      <c r="A38" s="33" t="str">
        <f t="shared" si="2"/>
        <v>E905</v>
      </c>
      <c r="B38" s="34" t="str">
        <f>IFERROR(__xludf.DUMMYFUNCTION("REGEXREPLACE($H38, ""(?i)^8301(E000|E100|E200|E300)?"", """")"),"E90500220EE4B0")</f>
        <v>E90500220EE4B0</v>
      </c>
      <c r="C38" s="36" t="s">
        <v>198</v>
      </c>
      <c r="D38" s="36"/>
      <c r="E38" s="36" t="s">
        <v>217</v>
      </c>
      <c r="F38" s="36" t="s">
        <v>218</v>
      </c>
      <c r="G38" s="37">
        <v>46244.0</v>
      </c>
      <c r="H38" s="38" t="s">
        <v>453</v>
      </c>
      <c r="I38" s="36"/>
      <c r="J38" s="39" t="str">
        <f t="shared" si="3"/>
        <v>0x05</v>
      </c>
      <c r="K38" s="40" t="str">
        <f t="shared" si="4"/>
        <v>0x00</v>
      </c>
      <c r="L38" s="40" t="str">
        <f t="shared" si="5"/>
        <v>0x22</v>
      </c>
      <c r="M38" s="42">
        <v>1.0</v>
      </c>
      <c r="N38" s="42" t="str">
        <f t="shared" si="10"/>
        <v>0x0E</v>
      </c>
      <c r="O38" s="48" t="str">
        <f t="shared" si="11"/>
        <v>0xE4</v>
      </c>
      <c r="P38" s="48"/>
      <c r="Q38" s="48"/>
      <c r="R38" s="42"/>
      <c r="S38" s="48"/>
      <c r="T38" s="48"/>
      <c r="U38" s="48"/>
      <c r="V38" s="49"/>
      <c r="W38" s="49"/>
      <c r="X38" s="49"/>
      <c r="Y38" s="49"/>
      <c r="Z38" s="49"/>
      <c r="AA38" s="49"/>
      <c r="AB38" s="49"/>
      <c r="AC38" s="49"/>
      <c r="AD38" s="49"/>
      <c r="AE38" s="49"/>
      <c r="AF38" s="49"/>
      <c r="AG38" s="49"/>
      <c r="AH38" s="49"/>
      <c r="AI38" s="49"/>
      <c r="AJ38" s="49"/>
      <c r="AK38" s="49"/>
      <c r="AL38" s="49"/>
      <c r="AM38" s="49"/>
      <c r="AN38" s="75" t="str">
        <f t="shared" si="12"/>
        <v>0xB0</v>
      </c>
    </row>
    <row r="39" hidden="1">
      <c r="A39" s="51" t="str">
        <f t="shared" si="2"/>
        <v>E905</v>
      </c>
      <c r="B39" s="52" t="str">
        <f>IFERROR(__xludf.DUMMYFUNCTION("REGEXREPLACE($H39, ""(?i)^8301(E000|E100|E200|E300)?"", """")"),"E90500220EE4BB")</f>
        <v>E90500220EE4BB</v>
      </c>
      <c r="C39" s="65" t="s">
        <v>198</v>
      </c>
      <c r="D39" s="53"/>
      <c r="E39" s="65" t="s">
        <v>129</v>
      </c>
      <c r="F39" s="65" t="s">
        <v>137</v>
      </c>
      <c r="G39" s="67">
        <v>46207.0</v>
      </c>
      <c r="H39" s="56" t="s">
        <v>148</v>
      </c>
      <c r="I39" s="53"/>
      <c r="J39" s="57" t="str">
        <f t="shared" si="3"/>
        <v>0x05</v>
      </c>
      <c r="K39" s="58" t="str">
        <f t="shared" si="4"/>
        <v>0x00</v>
      </c>
      <c r="L39" s="58" t="str">
        <f t="shared" si="5"/>
        <v>0x22</v>
      </c>
      <c r="M39" s="59">
        <v>1.0</v>
      </c>
      <c r="N39" s="59" t="str">
        <f t="shared" si="10"/>
        <v>0x0E</v>
      </c>
      <c r="O39" s="71" t="str">
        <f t="shared" si="11"/>
        <v>0xE4</v>
      </c>
      <c r="P39" s="71"/>
      <c r="Q39" s="71"/>
      <c r="R39" s="59"/>
      <c r="S39" s="71"/>
      <c r="T39" s="71"/>
      <c r="U39" s="71"/>
      <c r="V39" s="63"/>
      <c r="W39" s="63"/>
      <c r="X39" s="63"/>
      <c r="Y39" s="63"/>
      <c r="Z39" s="63"/>
      <c r="AA39" s="63"/>
      <c r="AB39" s="63"/>
      <c r="AC39" s="63"/>
      <c r="AD39" s="63"/>
      <c r="AE39" s="63"/>
      <c r="AF39" s="63"/>
      <c r="AG39" s="63"/>
      <c r="AH39" s="63"/>
      <c r="AI39" s="63"/>
      <c r="AJ39" s="63"/>
      <c r="AK39" s="63"/>
      <c r="AL39" s="63"/>
      <c r="AM39" s="63"/>
      <c r="AN39" s="88" t="str">
        <f t="shared" si="12"/>
        <v>0xBB</v>
      </c>
    </row>
    <row r="40">
      <c r="A40" s="33" t="str">
        <f t="shared" si="2"/>
        <v>E905</v>
      </c>
      <c r="B40" s="34" t="str">
        <f>IFERROR(__xludf.DUMMYFUNCTION("REGEXREPLACE($H40, ""(?i)^8301(E000|E100|E200|E300)?"", """")"),"E90500220EEEBA")</f>
        <v>E90500220EEEBA</v>
      </c>
      <c r="C40" s="36" t="s">
        <v>198</v>
      </c>
      <c r="D40" s="36"/>
      <c r="E40" s="36" t="s">
        <v>217</v>
      </c>
      <c r="F40" s="36" t="s">
        <v>218</v>
      </c>
      <c r="G40" s="37">
        <v>46244.0</v>
      </c>
      <c r="H40" s="38" t="s">
        <v>442</v>
      </c>
      <c r="I40" s="36"/>
      <c r="J40" s="39" t="str">
        <f t="shared" si="3"/>
        <v>0x05</v>
      </c>
      <c r="K40" s="40" t="str">
        <f t="shared" si="4"/>
        <v>0x00</v>
      </c>
      <c r="L40" s="40" t="str">
        <f t="shared" si="5"/>
        <v>0x22</v>
      </c>
      <c r="M40" s="42">
        <v>1.0</v>
      </c>
      <c r="N40" s="42" t="str">
        <f t="shared" si="10"/>
        <v>0x0E</v>
      </c>
      <c r="O40" s="48" t="str">
        <f t="shared" si="11"/>
        <v>0xEE</v>
      </c>
      <c r="P40" s="48"/>
      <c r="Q40" s="48"/>
      <c r="R40" s="42"/>
      <c r="S40" s="48"/>
      <c r="T40" s="48"/>
      <c r="U40" s="48"/>
      <c r="V40" s="49"/>
      <c r="W40" s="49"/>
      <c r="X40" s="49"/>
      <c r="Y40" s="49"/>
      <c r="Z40" s="49"/>
      <c r="AA40" s="49"/>
      <c r="AB40" s="49"/>
      <c r="AC40" s="49"/>
      <c r="AD40" s="49"/>
      <c r="AE40" s="49"/>
      <c r="AF40" s="49"/>
      <c r="AG40" s="49"/>
      <c r="AH40" s="49"/>
      <c r="AI40" s="49"/>
      <c r="AJ40" s="49"/>
      <c r="AK40" s="49"/>
      <c r="AL40" s="49"/>
      <c r="AM40" s="49"/>
      <c r="AN40" s="75" t="str">
        <f t="shared" si="12"/>
        <v>0xBA</v>
      </c>
    </row>
    <row r="41" hidden="1">
      <c r="A41" s="51" t="str">
        <f t="shared" si="2"/>
        <v>E905</v>
      </c>
      <c r="B41" s="52" t="str">
        <f>IFERROR(__xludf.DUMMYFUNCTION("REGEXREPLACE($H41, ""(?i)^8301(E000|E100|E200|E300)?"", """")"),"E90500220EEFB2")</f>
        <v>E90500220EEFB2</v>
      </c>
      <c r="C41" s="65" t="s">
        <v>198</v>
      </c>
      <c r="D41" s="53"/>
      <c r="E41" s="65" t="s">
        <v>129</v>
      </c>
      <c r="F41" s="89" t="s">
        <v>137</v>
      </c>
      <c r="G41" s="67">
        <v>46240.0</v>
      </c>
      <c r="H41" s="56" t="s">
        <v>151</v>
      </c>
      <c r="I41" s="53"/>
      <c r="J41" s="57" t="str">
        <f t="shared" si="3"/>
        <v>0x05</v>
      </c>
      <c r="K41" s="58" t="str">
        <f t="shared" si="4"/>
        <v>0x00</v>
      </c>
      <c r="L41" s="58" t="str">
        <f t="shared" si="5"/>
        <v>0x22</v>
      </c>
      <c r="M41" s="59">
        <v>1.0</v>
      </c>
      <c r="N41" s="59" t="str">
        <f t="shared" si="10"/>
        <v>0x0E</v>
      </c>
      <c r="O41" s="71" t="str">
        <f t="shared" si="11"/>
        <v>0xEF</v>
      </c>
      <c r="P41" s="71"/>
      <c r="Q41" s="71"/>
      <c r="R41" s="59"/>
      <c r="S41" s="71"/>
      <c r="T41" s="71"/>
      <c r="U41" s="71"/>
      <c r="V41" s="63"/>
      <c r="W41" s="63"/>
      <c r="X41" s="63"/>
      <c r="Y41" s="63"/>
      <c r="Z41" s="63"/>
      <c r="AA41" s="63"/>
      <c r="AB41" s="63"/>
      <c r="AC41" s="63"/>
      <c r="AD41" s="63"/>
      <c r="AE41" s="63"/>
      <c r="AF41" s="63"/>
      <c r="AG41" s="63"/>
      <c r="AH41" s="63"/>
      <c r="AI41" s="63"/>
      <c r="AJ41" s="63"/>
      <c r="AK41" s="63"/>
      <c r="AL41" s="63"/>
      <c r="AM41" s="63"/>
      <c r="AN41" s="88" t="str">
        <f t="shared" si="12"/>
        <v>0xB2</v>
      </c>
    </row>
    <row r="42">
      <c r="A42" s="33" t="str">
        <f t="shared" si="2"/>
        <v>E905</v>
      </c>
      <c r="B42" s="34" t="str">
        <f>IFERROR(__xludf.DUMMYFUNCTION("REGEXREPLACE($H42, ""(?i)^8301(E000|E100|E200|E300)?"", """")"),"E90500220EF3BA")</f>
        <v>E90500220EF3BA</v>
      </c>
      <c r="C42" s="36" t="s">
        <v>198</v>
      </c>
      <c r="D42" s="36"/>
      <c r="E42" s="36" t="s">
        <v>217</v>
      </c>
      <c r="F42" s="36" t="s">
        <v>218</v>
      </c>
      <c r="G42" s="37">
        <v>46244.0</v>
      </c>
      <c r="H42" s="38" t="s">
        <v>439</v>
      </c>
      <c r="I42" s="36"/>
      <c r="J42" s="39" t="str">
        <f t="shared" si="3"/>
        <v>0x05</v>
      </c>
      <c r="K42" s="40" t="str">
        <f t="shared" si="4"/>
        <v>0x00</v>
      </c>
      <c r="L42" s="40" t="str">
        <f t="shared" si="5"/>
        <v>0x22</v>
      </c>
      <c r="M42" s="42">
        <v>1.0</v>
      </c>
      <c r="N42" s="42" t="str">
        <f t="shared" si="10"/>
        <v>0x0E</v>
      </c>
      <c r="O42" s="48" t="str">
        <f t="shared" si="11"/>
        <v>0xF3</v>
      </c>
      <c r="P42" s="48"/>
      <c r="Q42" s="48"/>
      <c r="R42" s="42"/>
      <c r="S42" s="48"/>
      <c r="T42" s="48"/>
      <c r="U42" s="48"/>
      <c r="V42" s="49"/>
      <c r="W42" s="49"/>
      <c r="X42" s="49"/>
      <c r="Y42" s="49"/>
      <c r="Z42" s="49"/>
      <c r="AA42" s="49"/>
      <c r="AB42" s="49"/>
      <c r="AC42" s="49"/>
      <c r="AD42" s="49"/>
      <c r="AE42" s="49"/>
      <c r="AF42" s="49"/>
      <c r="AG42" s="49"/>
      <c r="AH42" s="49"/>
      <c r="AI42" s="49"/>
      <c r="AJ42" s="49"/>
      <c r="AK42" s="49"/>
      <c r="AL42" s="49"/>
      <c r="AM42" s="49"/>
      <c r="AN42" s="75" t="str">
        <f t="shared" si="12"/>
        <v>0xBA</v>
      </c>
    </row>
    <row r="43" hidden="1">
      <c r="A43" s="51" t="str">
        <f t="shared" si="2"/>
        <v>E905</v>
      </c>
      <c r="B43" s="52" t="str">
        <f>IFERROR(__xludf.DUMMYFUNCTION("REGEXREPLACE($H43, ""(?i)^8301(E000|E100|E200|E300)?"", """")"),"E90500230EFCB0")</f>
        <v>E90500230EFCB0</v>
      </c>
      <c r="C43" s="65" t="s">
        <v>198</v>
      </c>
      <c r="D43" s="53"/>
      <c r="E43" s="65" t="s">
        <v>75</v>
      </c>
      <c r="F43" s="65" t="s">
        <v>76</v>
      </c>
      <c r="G43" s="67">
        <v>46219.0</v>
      </c>
      <c r="H43" s="68" t="s">
        <v>154</v>
      </c>
      <c r="I43" s="53"/>
      <c r="J43" s="57" t="str">
        <f t="shared" si="3"/>
        <v>0x05</v>
      </c>
      <c r="K43" s="58" t="str">
        <f t="shared" si="4"/>
        <v>0x00</v>
      </c>
      <c r="L43" s="58" t="str">
        <f t="shared" si="5"/>
        <v>0x23</v>
      </c>
      <c r="M43" s="59">
        <v>1.0</v>
      </c>
      <c r="N43" s="59" t="str">
        <f t="shared" si="10"/>
        <v>0x0E</v>
      </c>
      <c r="O43" s="71" t="str">
        <f t="shared" si="11"/>
        <v>0xFC</v>
      </c>
      <c r="P43" s="71"/>
      <c r="Q43" s="71"/>
      <c r="R43" s="59"/>
      <c r="S43" s="71"/>
      <c r="T43" s="71"/>
      <c r="U43" s="71"/>
      <c r="V43" s="63"/>
      <c r="W43" s="63"/>
      <c r="X43" s="63"/>
      <c r="Y43" s="63"/>
      <c r="Z43" s="63"/>
      <c r="AA43" s="63"/>
      <c r="AB43" s="63"/>
      <c r="AC43" s="63"/>
      <c r="AD43" s="63"/>
      <c r="AE43" s="63"/>
      <c r="AF43" s="63"/>
      <c r="AG43" s="63"/>
      <c r="AH43" s="63"/>
      <c r="AI43" s="63"/>
      <c r="AJ43" s="63"/>
      <c r="AK43" s="63"/>
      <c r="AL43" s="63"/>
      <c r="AM43" s="63"/>
      <c r="AN43" s="88" t="str">
        <f t="shared" si="12"/>
        <v>0xB0</v>
      </c>
    </row>
    <row r="44" hidden="1">
      <c r="A44" s="33" t="str">
        <f t="shared" si="2"/>
        <v>E905</v>
      </c>
      <c r="B44" s="34" t="str">
        <f>IFERROR(__xludf.DUMMYFUNCTION("REGEXREPLACE($H44, ""(?i)^8301(E000|E100|E200|E300)?"", """")"),"E90500250EFCB0")</f>
        <v>E90500250EFCB0</v>
      </c>
      <c r="C44" s="36" t="s">
        <v>198</v>
      </c>
      <c r="D44" s="35"/>
      <c r="E44" s="36" t="s">
        <v>75</v>
      </c>
      <c r="F44" s="36" t="s">
        <v>76</v>
      </c>
      <c r="G44" s="37">
        <v>46219.0</v>
      </c>
      <c r="H44" s="38" t="s">
        <v>155</v>
      </c>
      <c r="I44" s="35"/>
      <c r="J44" s="39" t="str">
        <f t="shared" si="3"/>
        <v>0x05</v>
      </c>
      <c r="K44" s="40" t="str">
        <f t="shared" si="4"/>
        <v>0x00</v>
      </c>
      <c r="L44" s="40" t="str">
        <f t="shared" si="5"/>
        <v>0x25</v>
      </c>
      <c r="M44" s="42">
        <v>1.0</v>
      </c>
      <c r="N44" s="42" t="str">
        <f t="shared" si="10"/>
        <v>0x0E</v>
      </c>
      <c r="O44" s="48" t="str">
        <f t="shared" si="11"/>
        <v>0xFC</v>
      </c>
      <c r="P44" s="48"/>
      <c r="Q44" s="48"/>
      <c r="R44" s="42"/>
      <c r="S44" s="48"/>
      <c r="T44" s="48"/>
      <c r="U44" s="48"/>
      <c r="V44" s="49"/>
      <c r="W44" s="49"/>
      <c r="X44" s="49"/>
      <c r="Y44" s="49"/>
      <c r="Z44" s="49"/>
      <c r="AA44" s="49"/>
      <c r="AB44" s="49"/>
      <c r="AC44" s="49"/>
      <c r="AD44" s="49"/>
      <c r="AE44" s="49"/>
      <c r="AF44" s="49"/>
      <c r="AG44" s="49"/>
      <c r="AH44" s="49"/>
      <c r="AI44" s="49"/>
      <c r="AJ44" s="49"/>
      <c r="AK44" s="49"/>
      <c r="AL44" s="49"/>
      <c r="AM44" s="49"/>
      <c r="AN44" s="75" t="str">
        <f t="shared" si="12"/>
        <v>0xB0</v>
      </c>
    </row>
    <row r="45" hidden="1">
      <c r="A45" s="51" t="str">
        <f t="shared" si="2"/>
        <v>E905</v>
      </c>
      <c r="B45" s="52" t="str">
        <f>IFERROR(__xludf.DUMMYFUNCTION("REGEXREPLACE($H45, ""(?i)^8301(E000|E100|E200|E300)?"", """")"),"E90500330EE0BD")</f>
        <v>E90500330EE0BD</v>
      </c>
      <c r="C45" s="65" t="s">
        <v>198</v>
      </c>
      <c r="D45" s="53"/>
      <c r="E45" s="65" t="s">
        <v>75</v>
      </c>
      <c r="F45" s="65" t="s">
        <v>76</v>
      </c>
      <c r="G45" s="67">
        <v>46208.0</v>
      </c>
      <c r="H45" s="68" t="s">
        <v>156</v>
      </c>
      <c r="I45" s="53"/>
      <c r="J45" s="57" t="str">
        <f t="shared" si="3"/>
        <v>0x05</v>
      </c>
      <c r="K45" s="58" t="str">
        <f t="shared" si="4"/>
        <v>0x00</v>
      </c>
      <c r="L45" s="58" t="str">
        <f t="shared" si="5"/>
        <v>0x33</v>
      </c>
      <c r="M45" s="59">
        <v>1.0</v>
      </c>
      <c r="N45" s="59" t="str">
        <f t="shared" si="10"/>
        <v>0x0E</v>
      </c>
      <c r="O45" s="71" t="str">
        <f t="shared" si="11"/>
        <v>0xE0</v>
      </c>
      <c r="P45" s="71"/>
      <c r="Q45" s="71"/>
      <c r="R45" s="59"/>
      <c r="S45" s="71"/>
      <c r="T45" s="71"/>
      <c r="U45" s="71"/>
      <c r="V45" s="63"/>
      <c r="W45" s="63"/>
      <c r="X45" s="63"/>
      <c r="Y45" s="63"/>
      <c r="Z45" s="63"/>
      <c r="AA45" s="63"/>
      <c r="AB45" s="63"/>
      <c r="AC45" s="63"/>
      <c r="AD45" s="63"/>
      <c r="AE45" s="63"/>
      <c r="AF45" s="63"/>
      <c r="AG45" s="63"/>
      <c r="AH45" s="63"/>
      <c r="AI45" s="63"/>
      <c r="AJ45" s="63"/>
      <c r="AK45" s="63"/>
      <c r="AL45" s="63"/>
      <c r="AM45" s="63"/>
      <c r="AN45" s="88" t="str">
        <f t="shared" si="12"/>
        <v>0xBD</v>
      </c>
    </row>
    <row r="46" hidden="1">
      <c r="A46" s="33" t="str">
        <f t="shared" si="2"/>
        <v>E905</v>
      </c>
      <c r="B46" s="34" t="str">
        <f>IFERROR(__xludf.DUMMYFUNCTION("REGEXREPLACE($H46, ""(?i)^8301(E000|E100|E200|E300)?"", """")"),"E905004C0EF1B0")</f>
        <v>E905004C0EF1B0</v>
      </c>
      <c r="C46" s="36" t="s">
        <v>198</v>
      </c>
      <c r="D46" s="35"/>
      <c r="E46" s="36" t="s">
        <v>75</v>
      </c>
      <c r="F46" s="36" t="s">
        <v>120</v>
      </c>
      <c r="G46" s="37">
        <v>46219.0</v>
      </c>
      <c r="H46" s="38" t="s">
        <v>157</v>
      </c>
      <c r="I46" s="35"/>
      <c r="J46" s="39" t="str">
        <f t="shared" si="3"/>
        <v>0x05</v>
      </c>
      <c r="K46" s="40" t="str">
        <f t="shared" si="4"/>
        <v>0x00</v>
      </c>
      <c r="L46" s="40" t="str">
        <f t="shared" si="5"/>
        <v>0x4C</v>
      </c>
      <c r="M46" s="42">
        <v>1.0</v>
      </c>
      <c r="N46" s="42" t="str">
        <f t="shared" si="10"/>
        <v>0x0E</v>
      </c>
      <c r="O46" s="48" t="str">
        <f t="shared" si="11"/>
        <v>0xF1</v>
      </c>
      <c r="P46" s="48"/>
      <c r="Q46" s="48"/>
      <c r="R46" s="42"/>
      <c r="S46" s="48"/>
      <c r="T46" s="48"/>
      <c r="U46" s="48"/>
      <c r="V46" s="49"/>
      <c r="W46" s="49"/>
      <c r="X46" s="49"/>
      <c r="Y46" s="49"/>
      <c r="Z46" s="49"/>
      <c r="AA46" s="49"/>
      <c r="AB46" s="49"/>
      <c r="AC46" s="49"/>
      <c r="AD46" s="49"/>
      <c r="AE46" s="49"/>
      <c r="AF46" s="49"/>
      <c r="AG46" s="49"/>
      <c r="AH46" s="49"/>
      <c r="AI46" s="49"/>
      <c r="AJ46" s="49"/>
      <c r="AK46" s="49"/>
      <c r="AL46" s="49"/>
      <c r="AM46" s="49"/>
      <c r="AN46" s="75" t="str">
        <f t="shared" si="12"/>
        <v>0xB0</v>
      </c>
    </row>
    <row r="47" hidden="1">
      <c r="A47" s="51" t="str">
        <f t="shared" si="2"/>
        <v>E905</v>
      </c>
      <c r="B47" s="52" t="str">
        <f>IFERROR(__xludf.DUMMYFUNCTION("REGEXREPLACE($H47, ""(?i)^8301(E000|E100|E200|E300)?"", """")"),"E90500510EE4B0")</f>
        <v>E90500510EE4B0</v>
      </c>
      <c r="C47" s="65" t="s">
        <v>198</v>
      </c>
      <c r="D47" s="53"/>
      <c r="E47" s="65" t="s">
        <v>75</v>
      </c>
      <c r="F47" s="65" t="s">
        <v>120</v>
      </c>
      <c r="G47" s="67">
        <v>46219.0</v>
      </c>
      <c r="H47" s="68" t="s">
        <v>158</v>
      </c>
      <c r="I47" s="53"/>
      <c r="J47" s="57" t="str">
        <f t="shared" si="3"/>
        <v>0x05</v>
      </c>
      <c r="K47" s="58" t="str">
        <f t="shared" si="4"/>
        <v>0x00</v>
      </c>
      <c r="L47" s="58" t="str">
        <f t="shared" si="5"/>
        <v>0x51</v>
      </c>
      <c r="M47" s="59">
        <v>1.0</v>
      </c>
      <c r="N47" s="59" t="str">
        <f t="shared" si="10"/>
        <v>0x0E</v>
      </c>
      <c r="O47" s="71" t="str">
        <f t="shared" si="11"/>
        <v>0xE4</v>
      </c>
      <c r="P47" s="71"/>
      <c r="Q47" s="71"/>
      <c r="R47" s="59"/>
      <c r="S47" s="71"/>
      <c r="T47" s="71"/>
      <c r="U47" s="71"/>
      <c r="V47" s="63"/>
      <c r="W47" s="63"/>
      <c r="X47" s="63"/>
      <c r="Y47" s="63"/>
      <c r="Z47" s="63"/>
      <c r="AA47" s="63"/>
      <c r="AB47" s="63"/>
      <c r="AC47" s="63"/>
      <c r="AD47" s="63"/>
      <c r="AE47" s="63"/>
      <c r="AF47" s="63"/>
      <c r="AG47" s="63"/>
      <c r="AH47" s="63"/>
      <c r="AI47" s="63"/>
      <c r="AJ47" s="63"/>
      <c r="AK47" s="63"/>
      <c r="AL47" s="63"/>
      <c r="AM47" s="63"/>
      <c r="AN47" s="88" t="str">
        <f t="shared" si="12"/>
        <v>0xB0</v>
      </c>
    </row>
    <row r="48" hidden="1">
      <c r="A48" s="33" t="str">
        <f t="shared" si="2"/>
        <v>E905</v>
      </c>
      <c r="B48" s="34" t="str">
        <f>IFERROR(__xludf.DUMMYFUNCTION("REGEXREPLACE($H48, ""(?i)^8301(E000|E100|E200|E300)?"", """")"),"E90500610EF3B0")</f>
        <v>E90500610EF3B0</v>
      </c>
      <c r="C48" s="36" t="s">
        <v>198</v>
      </c>
      <c r="D48" s="35"/>
      <c r="E48" s="36" t="s">
        <v>75</v>
      </c>
      <c r="F48" s="36" t="s">
        <v>120</v>
      </c>
      <c r="G48" s="37">
        <v>46219.0</v>
      </c>
      <c r="H48" s="38" t="s">
        <v>159</v>
      </c>
      <c r="I48" s="35"/>
      <c r="J48" s="39" t="str">
        <f t="shared" si="3"/>
        <v>0x05</v>
      </c>
      <c r="K48" s="40" t="str">
        <f t="shared" si="4"/>
        <v>0x00</v>
      </c>
      <c r="L48" s="40" t="str">
        <f t="shared" si="5"/>
        <v>0x61</v>
      </c>
      <c r="M48" s="42">
        <v>1.0</v>
      </c>
      <c r="N48" s="42" t="str">
        <f t="shared" si="10"/>
        <v>0x0E</v>
      </c>
      <c r="O48" s="48" t="str">
        <f t="shared" si="11"/>
        <v>0xF3</v>
      </c>
      <c r="P48" s="48"/>
      <c r="Q48" s="48"/>
      <c r="R48" s="42"/>
      <c r="S48" s="48"/>
      <c r="T48" s="48"/>
      <c r="U48" s="48"/>
      <c r="V48" s="49"/>
      <c r="W48" s="49"/>
      <c r="X48" s="49"/>
      <c r="Y48" s="49"/>
      <c r="Z48" s="49"/>
      <c r="AA48" s="49"/>
      <c r="AB48" s="49"/>
      <c r="AC48" s="49"/>
      <c r="AD48" s="49"/>
      <c r="AE48" s="49"/>
      <c r="AF48" s="49"/>
      <c r="AG48" s="49"/>
      <c r="AH48" s="49"/>
      <c r="AI48" s="49"/>
      <c r="AJ48" s="49"/>
      <c r="AK48" s="49"/>
      <c r="AL48" s="49"/>
      <c r="AM48" s="49"/>
      <c r="AN48" s="75" t="str">
        <f t="shared" si="12"/>
        <v>0xB0</v>
      </c>
    </row>
    <row r="49" hidden="1">
      <c r="A49" s="51" t="str">
        <f t="shared" si="2"/>
        <v>E905</v>
      </c>
      <c r="B49" s="52" t="str">
        <f>IFERROR(__xludf.DUMMYFUNCTION("REGEXREPLACE($H49, ""(?i)^8301(E000|E100|E200|E300)?"", """")"),"E905006F0EF1B0")</f>
        <v>E905006F0EF1B0</v>
      </c>
      <c r="C49" s="65" t="s">
        <v>198</v>
      </c>
      <c r="D49" s="53"/>
      <c r="E49" s="65" t="s">
        <v>75</v>
      </c>
      <c r="F49" s="65" t="s">
        <v>120</v>
      </c>
      <c r="G49" s="67">
        <v>46219.0</v>
      </c>
      <c r="H49" s="68" t="s">
        <v>160</v>
      </c>
      <c r="I49" s="53"/>
      <c r="J49" s="57" t="str">
        <f t="shared" si="3"/>
        <v>0x05</v>
      </c>
      <c r="K49" s="58" t="str">
        <f t="shared" si="4"/>
        <v>0x00</v>
      </c>
      <c r="L49" s="58" t="str">
        <f t="shared" si="5"/>
        <v>0x6F</v>
      </c>
      <c r="M49" s="59">
        <v>1.0</v>
      </c>
      <c r="N49" s="59" t="str">
        <f t="shared" si="10"/>
        <v>0x0E</v>
      </c>
      <c r="O49" s="71" t="str">
        <f t="shared" si="11"/>
        <v>0xF1</v>
      </c>
      <c r="P49" s="71"/>
      <c r="Q49" s="71"/>
      <c r="R49" s="59"/>
      <c r="S49" s="71"/>
      <c r="T49" s="71"/>
      <c r="U49" s="71"/>
      <c r="V49" s="63"/>
      <c r="W49" s="63"/>
      <c r="X49" s="63"/>
      <c r="Y49" s="63"/>
      <c r="Z49" s="63"/>
      <c r="AA49" s="63"/>
      <c r="AB49" s="63"/>
      <c r="AC49" s="63"/>
      <c r="AD49" s="63"/>
      <c r="AE49" s="63"/>
      <c r="AF49" s="63"/>
      <c r="AG49" s="63"/>
      <c r="AH49" s="63"/>
      <c r="AI49" s="63"/>
      <c r="AJ49" s="63"/>
      <c r="AK49" s="63"/>
      <c r="AL49" s="63"/>
      <c r="AM49" s="63"/>
      <c r="AN49" s="88" t="str">
        <f t="shared" si="12"/>
        <v>0xB0</v>
      </c>
    </row>
    <row r="50" hidden="1">
      <c r="A50" s="33" t="str">
        <f t="shared" si="2"/>
        <v>E905</v>
      </c>
      <c r="B50" s="34" t="str">
        <f>IFERROR(__xludf.DUMMYFUNCTION("REGEXREPLACE($H50, ""(?i)^8301(E000|E100|E200|E300)?"", """")"),"E905006F0EF5B0")</f>
        <v>E905006F0EF5B0</v>
      </c>
      <c r="C50" s="36" t="s">
        <v>198</v>
      </c>
      <c r="D50" s="35"/>
      <c r="E50" s="36" t="s">
        <v>75</v>
      </c>
      <c r="F50" s="36" t="s">
        <v>120</v>
      </c>
      <c r="G50" s="37">
        <v>46228.0</v>
      </c>
      <c r="H50" s="38" t="s">
        <v>161</v>
      </c>
      <c r="I50" s="35"/>
      <c r="J50" s="39" t="str">
        <f t="shared" si="3"/>
        <v>0x05</v>
      </c>
      <c r="K50" s="40" t="str">
        <f t="shared" si="4"/>
        <v>0x00</v>
      </c>
      <c r="L50" s="40" t="str">
        <f t="shared" si="5"/>
        <v>0x6F</v>
      </c>
      <c r="M50" s="42">
        <v>1.0</v>
      </c>
      <c r="N50" s="42" t="str">
        <f t="shared" si="10"/>
        <v>0x0E</v>
      </c>
      <c r="O50" s="48" t="str">
        <f t="shared" si="11"/>
        <v>0xF5</v>
      </c>
      <c r="P50" s="48"/>
      <c r="Q50" s="48"/>
      <c r="R50" s="42"/>
      <c r="S50" s="48"/>
      <c r="T50" s="48"/>
      <c r="U50" s="48"/>
      <c r="V50" s="49"/>
      <c r="W50" s="49"/>
      <c r="X50" s="49"/>
      <c r="Y50" s="49"/>
      <c r="Z50" s="49"/>
      <c r="AA50" s="49"/>
      <c r="AB50" s="49"/>
      <c r="AC50" s="49"/>
      <c r="AD50" s="49"/>
      <c r="AE50" s="49"/>
      <c r="AF50" s="49"/>
      <c r="AG50" s="49"/>
      <c r="AH50" s="49"/>
      <c r="AI50" s="49"/>
      <c r="AJ50" s="49"/>
      <c r="AK50" s="49"/>
      <c r="AL50" s="49"/>
      <c r="AM50" s="49"/>
      <c r="AN50" s="75" t="str">
        <f t="shared" si="12"/>
        <v>0xB0</v>
      </c>
    </row>
    <row r="51" hidden="1">
      <c r="A51" s="51" t="str">
        <f t="shared" si="2"/>
        <v>E905</v>
      </c>
      <c r="B51" s="52" t="str">
        <f>IFERROR(__xludf.DUMMYFUNCTION("REGEXREPLACE($H51, ""(?i)^8301(E000|E100|E200|E300)?"", """")"),"E90500E40EF1B0")</f>
        <v>E90500E40EF1B0</v>
      </c>
      <c r="C51" s="65" t="s">
        <v>198</v>
      </c>
      <c r="D51" s="53"/>
      <c r="E51" s="65" t="s">
        <v>75</v>
      </c>
      <c r="F51" s="65" t="s">
        <v>120</v>
      </c>
      <c r="G51" s="67">
        <v>46219.0</v>
      </c>
      <c r="H51" s="68" t="s">
        <v>162</v>
      </c>
      <c r="I51" s="53"/>
      <c r="J51" s="57" t="str">
        <f t="shared" si="3"/>
        <v>0x05</v>
      </c>
      <c r="K51" s="58" t="str">
        <f t="shared" si="4"/>
        <v>0x00</v>
      </c>
      <c r="L51" s="58" t="str">
        <f t="shared" si="5"/>
        <v>0xE4</v>
      </c>
      <c r="M51" s="59">
        <v>1.0</v>
      </c>
      <c r="N51" s="59" t="str">
        <f t="shared" si="10"/>
        <v>0x0E</v>
      </c>
      <c r="O51" s="71" t="str">
        <f t="shared" si="11"/>
        <v>0xF1</v>
      </c>
      <c r="P51" s="71"/>
      <c r="Q51" s="71"/>
      <c r="R51" s="59"/>
      <c r="S51" s="71"/>
      <c r="T51" s="71"/>
      <c r="U51" s="71"/>
      <c r="V51" s="63"/>
      <c r="W51" s="63"/>
      <c r="X51" s="63"/>
      <c r="Y51" s="63"/>
      <c r="Z51" s="63"/>
      <c r="AA51" s="63"/>
      <c r="AB51" s="63"/>
      <c r="AC51" s="63"/>
      <c r="AD51" s="63"/>
      <c r="AE51" s="63"/>
      <c r="AF51" s="63"/>
      <c r="AG51" s="63"/>
      <c r="AH51" s="63"/>
      <c r="AI51" s="63"/>
      <c r="AJ51" s="63"/>
      <c r="AK51" s="63"/>
      <c r="AL51" s="63"/>
      <c r="AM51" s="63"/>
      <c r="AN51" s="88" t="str">
        <f t="shared" si="12"/>
        <v>0xB0</v>
      </c>
    </row>
    <row r="52">
      <c r="A52" s="33" t="str">
        <f t="shared" si="2"/>
        <v>E906</v>
      </c>
      <c r="B52" s="34" t="str">
        <f>IFERROR(__xludf.DUMMYFUNCTION("REGEXREPLACE($H52, ""(?i)^8301(E000|E100|E200|E300)?"", """")"),"E90600220F5154B7")</f>
        <v>E90600220F5154B7</v>
      </c>
      <c r="C52" s="36" t="s">
        <v>198</v>
      </c>
      <c r="D52" s="36"/>
      <c r="E52" s="36" t="s">
        <v>217</v>
      </c>
      <c r="F52" s="36" t="s">
        <v>218</v>
      </c>
      <c r="G52" s="37">
        <v>46244.0</v>
      </c>
      <c r="H52" s="38" t="s">
        <v>445</v>
      </c>
      <c r="I52" s="36"/>
      <c r="J52" s="39" t="str">
        <f t="shared" si="3"/>
        <v>0x06</v>
      </c>
      <c r="K52" s="40" t="str">
        <f t="shared" si="4"/>
        <v>0x00</v>
      </c>
      <c r="L52" s="40" t="str">
        <f t="shared" si="5"/>
        <v>0x22</v>
      </c>
      <c r="M52" s="42">
        <v>2.0</v>
      </c>
      <c r="N52" s="42" t="str">
        <f t="shared" si="10"/>
        <v>0x0F</v>
      </c>
      <c r="O52" s="48" t="str">
        <f t="shared" si="11"/>
        <v>0x51</v>
      </c>
      <c r="P52" s="48" t="str">
        <f>"0x"&amp;MID($B52,13,2)</f>
        <v>0x54</v>
      </c>
      <c r="Q52" s="72"/>
      <c r="R52" s="78"/>
      <c r="S52" s="72"/>
      <c r="T52" s="72"/>
      <c r="U52" s="72"/>
      <c r="V52" s="93"/>
      <c r="W52" s="93"/>
      <c r="X52" s="93"/>
      <c r="Y52" s="93"/>
      <c r="Z52" s="93"/>
      <c r="AA52" s="93"/>
      <c r="AB52" s="93"/>
      <c r="AC52" s="93"/>
      <c r="AD52" s="93"/>
      <c r="AE52" s="93"/>
      <c r="AF52" s="93"/>
      <c r="AG52" s="93"/>
      <c r="AH52" s="93"/>
      <c r="AI52" s="93"/>
      <c r="AJ52" s="93"/>
      <c r="AK52" s="93"/>
      <c r="AL52" s="93"/>
      <c r="AM52" s="93"/>
      <c r="AN52" s="64" t="str">
        <f>"0x"&amp;MID($B52,15,2)</f>
        <v>0xB7</v>
      </c>
    </row>
    <row r="53" hidden="1">
      <c r="A53" s="51" t="str">
        <f t="shared" si="2"/>
        <v>E907</v>
      </c>
      <c r="B53" s="52" t="str">
        <f>IFERROR(__xludf.DUMMYFUNCTION("REGEXREPLACE($H53, ""(?i)^8301(E000|E100|E200|E300)?"", """")"),"E9070021D255FC6400")</f>
        <v>E9070021D255FC6400</v>
      </c>
      <c r="C53" s="65" t="s">
        <v>198</v>
      </c>
      <c r="D53" s="65" t="s">
        <v>493</v>
      </c>
      <c r="E53" s="65" t="s">
        <v>106</v>
      </c>
      <c r="F53" s="65" t="s">
        <v>107</v>
      </c>
      <c r="G53" s="67">
        <v>46220.0</v>
      </c>
      <c r="H53" s="68" t="s">
        <v>169</v>
      </c>
      <c r="I53" s="53"/>
      <c r="J53" s="91" t="str">
        <f t="shared" si="3"/>
        <v>0x07</v>
      </c>
      <c r="K53" s="62" t="str">
        <f t="shared" si="4"/>
        <v>0x00</v>
      </c>
      <c r="L53" s="62" t="str">
        <f t="shared" si="5"/>
        <v>0x21</v>
      </c>
      <c r="M53" s="59">
        <v>1.0</v>
      </c>
      <c r="N53" s="83" t="str">
        <f t="shared" ref="N53:N62" si="13">"0x"&amp;MID($B53,9,4)</f>
        <v>0xD255</v>
      </c>
      <c r="O53" s="84" t="str">
        <f t="shared" ref="O53:O62" si="14">"0x"&amp;MID($B53,13,2)</f>
        <v>0xFC</v>
      </c>
      <c r="P53" s="84" t="str">
        <f t="shared" ref="P53:P62" si="15">"0x"&amp;MID($B53,15,2)</f>
        <v>0x64</v>
      </c>
      <c r="Q53" s="84" t="str">
        <f t="shared" ref="Q53:Q62" si="16">"0x"&amp;MID($B53,17,2)</f>
        <v>0x00</v>
      </c>
      <c r="R53" s="83"/>
      <c r="S53" s="84"/>
      <c r="T53" s="84"/>
      <c r="U53" s="84"/>
      <c r="V53" s="94"/>
      <c r="W53" s="94"/>
      <c r="X53" s="94"/>
      <c r="Y53" s="94"/>
      <c r="Z53" s="94"/>
      <c r="AA53" s="94"/>
      <c r="AB53" s="94"/>
      <c r="AC53" s="94"/>
      <c r="AD53" s="94"/>
      <c r="AE53" s="94"/>
      <c r="AF53" s="94"/>
      <c r="AG53" s="94"/>
      <c r="AH53" s="94"/>
      <c r="AI53" s="94"/>
      <c r="AJ53" s="94"/>
      <c r="AK53" s="94"/>
      <c r="AL53" s="94"/>
      <c r="AM53" s="94"/>
      <c r="AN53" s="74"/>
    </row>
    <row r="54" hidden="1">
      <c r="A54" s="33" t="str">
        <f t="shared" si="2"/>
        <v>E907</v>
      </c>
      <c r="B54" s="34" t="str">
        <f>IFERROR(__xludf.DUMMYFUNCTION("REGEXREPLACE($H54, ""(?i)^8301(E000|E100|E200|E300)?"", """")"),"E9070024D255FC0000")</f>
        <v>E9070024D255FC0000</v>
      </c>
      <c r="C54" s="36" t="s">
        <v>198</v>
      </c>
      <c r="D54" s="36" t="s">
        <v>493</v>
      </c>
      <c r="E54" s="36" t="s">
        <v>106</v>
      </c>
      <c r="F54" s="36" t="s">
        <v>107</v>
      </c>
      <c r="G54" s="37">
        <v>46220.0</v>
      </c>
      <c r="H54" s="38" t="s">
        <v>171</v>
      </c>
      <c r="I54" s="35"/>
      <c r="J54" s="39" t="str">
        <f t="shared" si="3"/>
        <v>0x07</v>
      </c>
      <c r="K54" s="40" t="str">
        <f t="shared" si="4"/>
        <v>0x00</v>
      </c>
      <c r="L54" s="40" t="str">
        <f t="shared" si="5"/>
        <v>0x24</v>
      </c>
      <c r="M54" s="42">
        <v>1.0</v>
      </c>
      <c r="N54" s="42" t="str">
        <f t="shared" si="13"/>
        <v>0xD255</v>
      </c>
      <c r="O54" s="48" t="str">
        <f t="shared" si="14"/>
        <v>0xFC</v>
      </c>
      <c r="P54" s="48" t="str">
        <f t="shared" si="15"/>
        <v>0x00</v>
      </c>
      <c r="Q54" s="48" t="str">
        <f t="shared" si="16"/>
        <v>0x00</v>
      </c>
      <c r="R54" s="42"/>
      <c r="S54" s="72"/>
      <c r="T54" s="72"/>
      <c r="U54" s="72"/>
      <c r="V54" s="49"/>
      <c r="W54" s="49"/>
      <c r="X54" s="49"/>
      <c r="Y54" s="49"/>
      <c r="Z54" s="49"/>
      <c r="AA54" s="49"/>
      <c r="AB54" s="49"/>
      <c r="AC54" s="49"/>
      <c r="AD54" s="49"/>
      <c r="AE54" s="49"/>
      <c r="AF54" s="49"/>
      <c r="AG54" s="49"/>
      <c r="AH54" s="49"/>
      <c r="AI54" s="49"/>
      <c r="AJ54" s="49"/>
      <c r="AK54" s="49"/>
      <c r="AL54" s="49"/>
      <c r="AM54" s="49"/>
      <c r="AN54" s="50"/>
    </row>
    <row r="55" hidden="1">
      <c r="A55" s="51" t="str">
        <f t="shared" si="2"/>
        <v>E907</v>
      </c>
      <c r="B55" s="52" t="str">
        <f>IFERROR(__xludf.DUMMYFUNCTION("REGEXREPLACE($H55, ""(?i)^8301(E000|E100|E200|E300)?"", """")"),"E907004FD255003C48")</f>
        <v>E907004FD255003C48</v>
      </c>
      <c r="C55" s="65" t="s">
        <v>198</v>
      </c>
      <c r="D55" s="65" t="s">
        <v>493</v>
      </c>
      <c r="E55" s="65" t="s">
        <v>106</v>
      </c>
      <c r="F55" s="65" t="s">
        <v>107</v>
      </c>
      <c r="G55" s="67">
        <v>46220.0</v>
      </c>
      <c r="H55" s="68" t="s">
        <v>172</v>
      </c>
      <c r="I55" s="53"/>
      <c r="J55" s="57" t="str">
        <f t="shared" si="3"/>
        <v>0x07</v>
      </c>
      <c r="K55" s="58" t="str">
        <f t="shared" si="4"/>
        <v>0x00</v>
      </c>
      <c r="L55" s="58" t="str">
        <f t="shared" si="5"/>
        <v>0x4F</v>
      </c>
      <c r="M55" s="59">
        <v>1.0</v>
      </c>
      <c r="N55" s="59" t="str">
        <f t="shared" si="13"/>
        <v>0xD255</v>
      </c>
      <c r="O55" s="71" t="str">
        <f t="shared" si="14"/>
        <v>0x00</v>
      </c>
      <c r="P55" s="71" t="str">
        <f t="shared" si="15"/>
        <v>0x3C</v>
      </c>
      <c r="Q55" s="71" t="str">
        <f t="shared" si="16"/>
        <v>0x48</v>
      </c>
      <c r="R55" s="59"/>
      <c r="S55" s="84"/>
      <c r="T55" s="84"/>
      <c r="U55" s="84"/>
      <c r="V55" s="63"/>
      <c r="W55" s="63"/>
      <c r="X55" s="63"/>
      <c r="Y55" s="63"/>
      <c r="Z55" s="63"/>
      <c r="AA55" s="63"/>
      <c r="AB55" s="63"/>
      <c r="AC55" s="63"/>
      <c r="AD55" s="63"/>
      <c r="AE55" s="63"/>
      <c r="AF55" s="63"/>
      <c r="AG55" s="63"/>
      <c r="AH55" s="63"/>
      <c r="AI55" s="63"/>
      <c r="AJ55" s="63"/>
      <c r="AK55" s="63"/>
      <c r="AL55" s="63"/>
      <c r="AM55" s="63"/>
      <c r="AN55" s="66"/>
    </row>
    <row r="56" hidden="1">
      <c r="A56" s="33" t="str">
        <f t="shared" si="2"/>
        <v>E907</v>
      </c>
      <c r="B56" s="34" t="str">
        <f>IFERROR(__xludf.DUMMYFUNCTION("REGEXREPLACE($H56, ""(?i)^8301(E000|E100|E200|E300)?"", """")"),"E907004FD2550041FC")</f>
        <v>E907004FD2550041FC</v>
      </c>
      <c r="C56" s="36" t="s">
        <v>198</v>
      </c>
      <c r="D56" s="36" t="s">
        <v>493</v>
      </c>
      <c r="E56" s="36" t="s">
        <v>106</v>
      </c>
      <c r="F56" s="36" t="s">
        <v>107</v>
      </c>
      <c r="G56" s="37">
        <v>46220.0</v>
      </c>
      <c r="H56" s="38" t="s">
        <v>173</v>
      </c>
      <c r="I56" s="35"/>
      <c r="J56" s="39" t="str">
        <f t="shared" si="3"/>
        <v>0x07</v>
      </c>
      <c r="K56" s="40" t="str">
        <f t="shared" si="4"/>
        <v>0x00</v>
      </c>
      <c r="L56" s="40" t="str">
        <f t="shared" si="5"/>
        <v>0x4F</v>
      </c>
      <c r="M56" s="42">
        <v>1.0</v>
      </c>
      <c r="N56" s="42" t="str">
        <f t="shared" si="13"/>
        <v>0xD255</v>
      </c>
      <c r="O56" s="48" t="str">
        <f t="shared" si="14"/>
        <v>0x00</v>
      </c>
      <c r="P56" s="48" t="str">
        <f t="shared" si="15"/>
        <v>0x41</v>
      </c>
      <c r="Q56" s="48" t="str">
        <f t="shared" si="16"/>
        <v>0xFC</v>
      </c>
      <c r="R56" s="42"/>
      <c r="S56" s="72"/>
      <c r="T56" s="72"/>
      <c r="U56" s="72"/>
      <c r="V56" s="49"/>
      <c r="W56" s="49"/>
      <c r="X56" s="49"/>
      <c r="Y56" s="49"/>
      <c r="Z56" s="49"/>
      <c r="AA56" s="49"/>
      <c r="AB56" s="49"/>
      <c r="AC56" s="49"/>
      <c r="AD56" s="49"/>
      <c r="AE56" s="49"/>
      <c r="AF56" s="49"/>
      <c r="AG56" s="49"/>
      <c r="AH56" s="49"/>
      <c r="AI56" s="49"/>
      <c r="AJ56" s="49"/>
      <c r="AK56" s="49"/>
      <c r="AL56" s="49"/>
      <c r="AM56" s="49"/>
      <c r="AN56" s="50"/>
    </row>
    <row r="57" hidden="1">
      <c r="A57" s="51" t="str">
        <f t="shared" si="2"/>
        <v>E907</v>
      </c>
      <c r="B57" s="52" t="str">
        <f>IFERROR(__xludf.DUMMYFUNCTION("REGEXREPLACE($H57, ""(?i)^8301(E000|E100|E200|E300)?"", """")"),"E907004FD2553D00FC")</f>
        <v>E907004FD2553D00FC</v>
      </c>
      <c r="C57" s="65" t="s">
        <v>198</v>
      </c>
      <c r="D57" s="65" t="s">
        <v>493</v>
      </c>
      <c r="E57" s="65" t="s">
        <v>106</v>
      </c>
      <c r="F57" s="65" t="s">
        <v>107</v>
      </c>
      <c r="G57" s="67">
        <v>46220.0</v>
      </c>
      <c r="H57" s="68" t="s">
        <v>174</v>
      </c>
      <c r="I57" s="53"/>
      <c r="J57" s="57" t="str">
        <f t="shared" si="3"/>
        <v>0x07</v>
      </c>
      <c r="K57" s="58" t="str">
        <f t="shared" si="4"/>
        <v>0x00</v>
      </c>
      <c r="L57" s="58" t="str">
        <f t="shared" si="5"/>
        <v>0x4F</v>
      </c>
      <c r="M57" s="59">
        <v>1.0</v>
      </c>
      <c r="N57" s="59" t="str">
        <f t="shared" si="13"/>
        <v>0xD255</v>
      </c>
      <c r="O57" s="71" t="str">
        <f t="shared" si="14"/>
        <v>0x3D</v>
      </c>
      <c r="P57" s="71" t="str">
        <f t="shared" si="15"/>
        <v>0x00</v>
      </c>
      <c r="Q57" s="71" t="str">
        <f t="shared" si="16"/>
        <v>0xFC</v>
      </c>
      <c r="R57" s="59"/>
      <c r="S57" s="84"/>
      <c r="T57" s="84"/>
      <c r="U57" s="84"/>
      <c r="V57" s="63"/>
      <c r="W57" s="63"/>
      <c r="X57" s="63"/>
      <c r="Y57" s="63"/>
      <c r="Z57" s="63"/>
      <c r="AA57" s="63"/>
      <c r="AB57" s="63"/>
      <c r="AC57" s="63"/>
      <c r="AD57" s="63"/>
      <c r="AE57" s="63"/>
      <c r="AF57" s="63"/>
      <c r="AG57" s="63"/>
      <c r="AH57" s="63"/>
      <c r="AI57" s="63"/>
      <c r="AJ57" s="63"/>
      <c r="AK57" s="63"/>
      <c r="AL57" s="63"/>
      <c r="AM57" s="63"/>
      <c r="AN57" s="66"/>
    </row>
    <row r="58" hidden="1">
      <c r="A58" s="33" t="str">
        <f t="shared" si="2"/>
        <v>E907</v>
      </c>
      <c r="B58" s="34" t="str">
        <f>IFERROR(__xludf.DUMMYFUNCTION("REGEXREPLACE($H58, ""(?i)^8301(E000|E100|E200|E300)?"", """")"),"E907004FD2554B0000")</f>
        <v>E907004FD2554B0000</v>
      </c>
      <c r="C58" s="36" t="s">
        <v>198</v>
      </c>
      <c r="D58" s="36" t="s">
        <v>493</v>
      </c>
      <c r="E58" s="36" t="s">
        <v>106</v>
      </c>
      <c r="F58" s="36" t="s">
        <v>107</v>
      </c>
      <c r="G58" s="37">
        <v>46220.0</v>
      </c>
      <c r="H58" s="38" t="s">
        <v>176</v>
      </c>
      <c r="I58" s="35"/>
      <c r="J58" s="39" t="str">
        <f t="shared" si="3"/>
        <v>0x07</v>
      </c>
      <c r="K58" s="40" t="str">
        <f t="shared" si="4"/>
        <v>0x00</v>
      </c>
      <c r="L58" s="40" t="str">
        <f t="shared" si="5"/>
        <v>0x4F</v>
      </c>
      <c r="M58" s="42">
        <v>1.0</v>
      </c>
      <c r="N58" s="42" t="str">
        <f t="shared" si="13"/>
        <v>0xD255</v>
      </c>
      <c r="O58" s="48" t="str">
        <f t="shared" si="14"/>
        <v>0x4B</v>
      </c>
      <c r="P58" s="48" t="str">
        <f t="shared" si="15"/>
        <v>0x00</v>
      </c>
      <c r="Q58" s="48" t="str">
        <f t="shared" si="16"/>
        <v>0x00</v>
      </c>
      <c r="R58" s="42"/>
      <c r="S58" s="72"/>
      <c r="T58" s="72"/>
      <c r="U58" s="72"/>
      <c r="V58" s="49"/>
      <c r="W58" s="49"/>
      <c r="X58" s="49"/>
      <c r="Y58" s="49"/>
      <c r="Z58" s="49"/>
      <c r="AA58" s="49"/>
      <c r="AB58" s="49"/>
      <c r="AC58" s="49"/>
      <c r="AD58" s="49"/>
      <c r="AE58" s="49"/>
      <c r="AF58" s="49"/>
      <c r="AG58" s="49"/>
      <c r="AH58" s="49"/>
      <c r="AI58" s="49"/>
      <c r="AJ58" s="49"/>
      <c r="AK58" s="49"/>
      <c r="AL58" s="49"/>
      <c r="AM58" s="49"/>
      <c r="AN58" s="50"/>
    </row>
    <row r="59" hidden="1">
      <c r="A59" s="51" t="str">
        <f t="shared" si="2"/>
        <v>E907</v>
      </c>
      <c r="B59" s="52" t="str">
        <f>IFERROR(__xludf.DUMMYFUNCTION("REGEXREPLACE($H59, ""(?i)^8301(E000|E100|E200|E300)?"", """")"),"E907006BD255570000")</f>
        <v>E907006BD255570000</v>
      </c>
      <c r="C59" s="65" t="s">
        <v>198</v>
      </c>
      <c r="D59" s="65" t="s">
        <v>493</v>
      </c>
      <c r="E59" s="65" t="s">
        <v>106</v>
      </c>
      <c r="F59" s="65" t="s">
        <v>107</v>
      </c>
      <c r="G59" s="67">
        <v>46220.0</v>
      </c>
      <c r="H59" s="68" t="s">
        <v>178</v>
      </c>
      <c r="I59" s="53"/>
      <c r="J59" s="57" t="str">
        <f t="shared" si="3"/>
        <v>0x07</v>
      </c>
      <c r="K59" s="58" t="str">
        <f t="shared" si="4"/>
        <v>0x00</v>
      </c>
      <c r="L59" s="58" t="str">
        <f t="shared" si="5"/>
        <v>0x6B</v>
      </c>
      <c r="M59" s="59">
        <v>1.0</v>
      </c>
      <c r="N59" s="59" t="str">
        <f t="shared" si="13"/>
        <v>0xD255</v>
      </c>
      <c r="O59" s="71" t="str">
        <f t="shared" si="14"/>
        <v>0x57</v>
      </c>
      <c r="P59" s="71" t="str">
        <f t="shared" si="15"/>
        <v>0x00</v>
      </c>
      <c r="Q59" s="71" t="str">
        <f t="shared" si="16"/>
        <v>0x00</v>
      </c>
      <c r="R59" s="59"/>
      <c r="S59" s="84"/>
      <c r="T59" s="84"/>
      <c r="U59" s="84"/>
      <c r="V59" s="63"/>
      <c r="W59" s="63"/>
      <c r="X59" s="63"/>
      <c r="Y59" s="63"/>
      <c r="Z59" s="63"/>
      <c r="AA59" s="63"/>
      <c r="AB59" s="63"/>
      <c r="AC59" s="63"/>
      <c r="AD59" s="63"/>
      <c r="AE59" s="63"/>
      <c r="AF59" s="63"/>
      <c r="AG59" s="63"/>
      <c r="AH59" s="63"/>
      <c r="AI59" s="63"/>
      <c r="AJ59" s="63"/>
      <c r="AK59" s="63"/>
      <c r="AL59" s="63"/>
      <c r="AM59" s="63"/>
      <c r="AN59" s="66"/>
    </row>
    <row r="60" hidden="1">
      <c r="A60" s="33" t="str">
        <f t="shared" si="2"/>
        <v>E907</v>
      </c>
      <c r="B60" s="34" t="str">
        <f>IFERROR(__xludf.DUMMYFUNCTION("REGEXREPLACE($H60, ""(?i)^8301(E000|E100|E200|E300)?"", """")"),"E9070074D255004004")</f>
        <v>E9070074D255004004</v>
      </c>
      <c r="C60" s="36" t="s">
        <v>198</v>
      </c>
      <c r="D60" s="36" t="s">
        <v>493</v>
      </c>
      <c r="E60" s="36" t="s">
        <v>106</v>
      </c>
      <c r="F60" s="36" t="s">
        <v>107</v>
      </c>
      <c r="G60" s="37">
        <v>46220.0</v>
      </c>
      <c r="H60" s="38" t="s">
        <v>179</v>
      </c>
      <c r="I60" s="35"/>
      <c r="J60" s="39" t="str">
        <f t="shared" si="3"/>
        <v>0x07</v>
      </c>
      <c r="K60" s="40" t="str">
        <f t="shared" si="4"/>
        <v>0x00</v>
      </c>
      <c r="L60" s="40" t="str">
        <f t="shared" si="5"/>
        <v>0x74</v>
      </c>
      <c r="M60" s="42">
        <v>1.0</v>
      </c>
      <c r="N60" s="42" t="str">
        <f t="shared" si="13"/>
        <v>0xD255</v>
      </c>
      <c r="O60" s="48" t="str">
        <f t="shared" si="14"/>
        <v>0x00</v>
      </c>
      <c r="P60" s="48" t="str">
        <f t="shared" si="15"/>
        <v>0x40</v>
      </c>
      <c r="Q60" s="48" t="str">
        <f t="shared" si="16"/>
        <v>0x04</v>
      </c>
      <c r="R60" s="42"/>
      <c r="S60" s="72"/>
      <c r="T60" s="72"/>
      <c r="U60" s="72"/>
      <c r="V60" s="49"/>
      <c r="W60" s="49"/>
      <c r="X60" s="49"/>
      <c r="Y60" s="49"/>
      <c r="Z60" s="49"/>
      <c r="AA60" s="49"/>
      <c r="AB60" s="49"/>
      <c r="AC60" s="49"/>
      <c r="AD60" s="49"/>
      <c r="AE60" s="49"/>
      <c r="AF60" s="49"/>
      <c r="AG60" s="49"/>
      <c r="AH60" s="49"/>
      <c r="AI60" s="49"/>
      <c r="AJ60" s="49"/>
      <c r="AK60" s="49"/>
      <c r="AL60" s="49"/>
      <c r="AM60" s="49"/>
      <c r="AN60" s="50"/>
    </row>
    <row r="61" hidden="1">
      <c r="A61" s="51" t="str">
        <f t="shared" si="2"/>
        <v>E908</v>
      </c>
      <c r="B61" s="52" t="str">
        <f>IFERROR(__xludf.DUMMYFUNCTION("REGEXREPLACE($H61, ""(?i)^8301(E000|E100|E200|E300)?"", """")"),"E9080021D255456461BA")</f>
        <v>E9080021D255456461BA</v>
      </c>
      <c r="C61" s="65" t="s">
        <v>198</v>
      </c>
      <c r="D61" s="65" t="s">
        <v>493</v>
      </c>
      <c r="E61" s="65" t="s">
        <v>106</v>
      </c>
      <c r="F61" s="65" t="s">
        <v>107</v>
      </c>
      <c r="G61" s="67">
        <v>46220.0</v>
      </c>
      <c r="H61" s="68" t="s">
        <v>181</v>
      </c>
      <c r="I61" s="53"/>
      <c r="J61" s="57" t="str">
        <f t="shared" si="3"/>
        <v>0x08</v>
      </c>
      <c r="K61" s="58" t="str">
        <f t="shared" si="4"/>
        <v>0x00</v>
      </c>
      <c r="L61" s="58" t="str">
        <f t="shared" si="5"/>
        <v>0x21</v>
      </c>
      <c r="M61" s="59">
        <v>1.0</v>
      </c>
      <c r="N61" s="59" t="str">
        <f t="shared" si="13"/>
        <v>0xD255</v>
      </c>
      <c r="O61" s="71" t="str">
        <f t="shared" si="14"/>
        <v>0x45</v>
      </c>
      <c r="P61" s="71" t="str">
        <f t="shared" si="15"/>
        <v>0x64</v>
      </c>
      <c r="Q61" s="71" t="str">
        <f t="shared" si="16"/>
        <v>0x61</v>
      </c>
      <c r="R61" s="59"/>
      <c r="S61" s="84"/>
      <c r="T61" s="84"/>
      <c r="U61" s="84"/>
      <c r="V61" s="63"/>
      <c r="W61" s="63"/>
      <c r="X61" s="63"/>
      <c r="Y61" s="63"/>
      <c r="Z61" s="63"/>
      <c r="AA61" s="63"/>
      <c r="AB61" s="63"/>
      <c r="AC61" s="63"/>
      <c r="AD61" s="63"/>
      <c r="AE61" s="63"/>
      <c r="AF61" s="63"/>
      <c r="AG61" s="63"/>
      <c r="AH61" s="63"/>
      <c r="AI61" s="63"/>
      <c r="AJ61" s="63"/>
      <c r="AK61" s="63"/>
      <c r="AL61" s="63"/>
      <c r="AM61" s="63"/>
      <c r="AN61" s="66"/>
    </row>
    <row r="62" hidden="1">
      <c r="A62" s="33" t="str">
        <f t="shared" si="2"/>
        <v>E908</v>
      </c>
      <c r="B62" s="34" t="str">
        <f>IFERROR(__xludf.DUMMYFUNCTION("REGEXREPLACE($H62, ""(?i)^8301(E000|E100|E200|E300)?"", """")"),"E9080043D255000000B0")</f>
        <v>E9080043D255000000B0</v>
      </c>
      <c r="C62" s="36" t="s">
        <v>198</v>
      </c>
      <c r="D62" s="36" t="s">
        <v>493</v>
      </c>
      <c r="E62" s="36" t="s">
        <v>75</v>
      </c>
      <c r="F62" s="36" t="s">
        <v>120</v>
      </c>
      <c r="G62" s="37">
        <v>46219.0</v>
      </c>
      <c r="H62" s="38" t="s">
        <v>182</v>
      </c>
      <c r="I62" s="35"/>
      <c r="J62" s="39" t="str">
        <f t="shared" si="3"/>
        <v>0x08</v>
      </c>
      <c r="K62" s="40" t="str">
        <f t="shared" si="4"/>
        <v>0x00</v>
      </c>
      <c r="L62" s="40" t="str">
        <f t="shared" si="5"/>
        <v>0x43</v>
      </c>
      <c r="M62" s="42">
        <v>1.0</v>
      </c>
      <c r="N62" s="42" t="str">
        <f t="shared" si="13"/>
        <v>0xD255</v>
      </c>
      <c r="O62" s="48" t="str">
        <f t="shared" si="14"/>
        <v>0x00</v>
      </c>
      <c r="P62" s="48" t="str">
        <f t="shared" si="15"/>
        <v>0x00</v>
      </c>
      <c r="Q62" s="48" t="str">
        <f t="shared" si="16"/>
        <v>0x00</v>
      </c>
      <c r="R62" s="42"/>
      <c r="S62" s="72"/>
      <c r="T62" s="72"/>
      <c r="U62" s="72"/>
      <c r="V62" s="49"/>
      <c r="W62" s="49"/>
      <c r="X62" s="49"/>
      <c r="Y62" s="49"/>
      <c r="Z62" s="49"/>
      <c r="AA62" s="49"/>
      <c r="AB62" s="49"/>
      <c r="AC62" s="49"/>
      <c r="AD62" s="49"/>
      <c r="AE62" s="49"/>
      <c r="AF62" s="49"/>
      <c r="AG62" s="49"/>
      <c r="AH62" s="49"/>
      <c r="AI62" s="49"/>
      <c r="AJ62" s="49"/>
      <c r="AK62" s="49"/>
      <c r="AL62" s="49"/>
      <c r="AM62" s="49"/>
      <c r="AN62" s="50"/>
    </row>
    <row r="63" hidden="1">
      <c r="A63" s="51" t="str">
        <f t="shared" si="2"/>
        <v>E908</v>
      </c>
      <c r="B63" s="52" t="str">
        <f>IFERROR(__xludf.DUMMYFUNCTION("REGEXREPLACE($H63, ""(?i)^8301(E000|E100|E200|E300)?"", """")"),"E908004F0FAFA4B5B5A4")</f>
        <v>E908004F0FAFA4B5B5A4</v>
      </c>
      <c r="C63" s="65" t="s">
        <v>198</v>
      </c>
      <c r="D63" s="65" t="s">
        <v>489</v>
      </c>
      <c r="E63" s="65" t="s">
        <v>106</v>
      </c>
      <c r="F63" s="65" t="s">
        <v>107</v>
      </c>
      <c r="G63" s="67">
        <v>46220.0</v>
      </c>
      <c r="H63" s="68" t="s">
        <v>183</v>
      </c>
      <c r="I63" s="53"/>
      <c r="J63" s="57" t="str">
        <f t="shared" si="3"/>
        <v>0x08</v>
      </c>
      <c r="K63" s="58" t="str">
        <f t="shared" si="4"/>
        <v>0x00</v>
      </c>
      <c r="L63" s="58" t="str">
        <f t="shared" si="5"/>
        <v>0x4F</v>
      </c>
      <c r="M63" s="59">
        <v>5.0</v>
      </c>
      <c r="N63" s="59" t="str">
        <f t="shared" ref="N63:N64" si="17">"0x"&amp;MID($B63,9,2)</f>
        <v>0x0F</v>
      </c>
      <c r="O63" s="71" t="str">
        <f t="shared" ref="O63:O64" si="18">"0x"&amp;MID($B63,11,2)</f>
        <v>0xAF</v>
      </c>
      <c r="P63" s="71" t="str">
        <f t="shared" ref="P63:P64" si="19">"0x"&amp;MID($B63,13,2)</f>
        <v>0xA4</v>
      </c>
      <c r="Q63" s="71" t="str">
        <f t="shared" ref="Q63:Q64" si="20">"0x"&amp;MID($B63,15,2)</f>
        <v>0xB5</v>
      </c>
      <c r="R63" s="59"/>
      <c r="S63" s="71" t="str">
        <f t="shared" ref="S63:S64" si="21">"0x"&amp;MID($B63,17,2)</f>
        <v>0xB5</v>
      </c>
      <c r="T63" s="71" t="str">
        <f t="shared" ref="T63:T64" si="22">"0x"&amp;MID($B63,19,2)</f>
        <v>0xA4</v>
      </c>
      <c r="U63" s="71"/>
      <c r="V63" s="63"/>
      <c r="W63" s="63"/>
      <c r="X63" s="63"/>
      <c r="Y63" s="63"/>
      <c r="Z63" s="63"/>
      <c r="AA63" s="63"/>
      <c r="AB63" s="63"/>
      <c r="AC63" s="63"/>
      <c r="AD63" s="63"/>
      <c r="AE63" s="63"/>
      <c r="AF63" s="63"/>
      <c r="AG63" s="63"/>
      <c r="AH63" s="63"/>
      <c r="AI63" s="63"/>
      <c r="AJ63" s="63"/>
      <c r="AK63" s="63"/>
      <c r="AL63" s="63"/>
      <c r="AM63" s="63"/>
      <c r="AN63" s="66"/>
    </row>
    <row r="64" hidden="1">
      <c r="A64" s="33" t="str">
        <f t="shared" si="2"/>
        <v>E908</v>
      </c>
      <c r="B64" s="34" t="str">
        <f>IFERROR(__xludf.DUMMYFUNCTION("REGEXREPLACE($H64, ""(?i)^8301(E000|E100|E200|E300)?"", """")"),"E908004F0FAFA8A8B6B6")</f>
        <v>E908004F0FAFA8A8B6B6</v>
      </c>
      <c r="C64" s="36" t="s">
        <v>198</v>
      </c>
      <c r="D64" s="36" t="s">
        <v>489</v>
      </c>
      <c r="E64" s="36" t="s">
        <v>106</v>
      </c>
      <c r="F64" s="36" t="s">
        <v>107</v>
      </c>
      <c r="G64" s="37">
        <v>46220.0</v>
      </c>
      <c r="H64" s="38" t="s">
        <v>184</v>
      </c>
      <c r="I64" s="35"/>
      <c r="J64" s="39" t="str">
        <f t="shared" si="3"/>
        <v>0x08</v>
      </c>
      <c r="K64" s="40" t="str">
        <f t="shared" si="4"/>
        <v>0x00</v>
      </c>
      <c r="L64" s="40" t="str">
        <f t="shared" si="5"/>
        <v>0x4F</v>
      </c>
      <c r="M64" s="42">
        <v>5.0</v>
      </c>
      <c r="N64" s="42" t="str">
        <f t="shared" si="17"/>
        <v>0x0F</v>
      </c>
      <c r="O64" s="48" t="str">
        <f t="shared" si="18"/>
        <v>0xAF</v>
      </c>
      <c r="P64" s="48" t="str">
        <f t="shared" si="19"/>
        <v>0xA8</v>
      </c>
      <c r="Q64" s="48" t="str">
        <f t="shared" si="20"/>
        <v>0xA8</v>
      </c>
      <c r="R64" s="42"/>
      <c r="S64" s="48" t="str">
        <f t="shared" si="21"/>
        <v>0xB6</v>
      </c>
      <c r="T64" s="48" t="str">
        <f t="shared" si="22"/>
        <v>0xB6</v>
      </c>
      <c r="U64" s="48"/>
      <c r="V64" s="49"/>
      <c r="W64" s="49"/>
      <c r="X64" s="49"/>
      <c r="Y64" s="49"/>
      <c r="Z64" s="49"/>
      <c r="AA64" s="49"/>
      <c r="AB64" s="49"/>
      <c r="AC64" s="49"/>
      <c r="AD64" s="49"/>
      <c r="AE64" s="49"/>
      <c r="AF64" s="49"/>
      <c r="AG64" s="49"/>
      <c r="AH64" s="49"/>
      <c r="AI64" s="49"/>
      <c r="AJ64" s="49"/>
      <c r="AK64" s="49"/>
      <c r="AL64" s="49"/>
      <c r="AM64" s="49"/>
      <c r="AN64" s="50"/>
    </row>
    <row r="65" hidden="1">
      <c r="A65" s="51" t="str">
        <f t="shared" si="2"/>
        <v>E908</v>
      </c>
      <c r="B65" s="52" t="str">
        <f>IFERROR(__xludf.DUMMYFUNCTION("REGEXREPLACE($H65, ""(?i)^8301(E000|E100|E200|E300)?"", """")"),"E9080065D255000000B0")</f>
        <v>E9080065D255000000B0</v>
      </c>
      <c r="C65" s="65" t="s">
        <v>198</v>
      </c>
      <c r="D65" s="65" t="s">
        <v>493</v>
      </c>
      <c r="E65" s="65" t="s">
        <v>75</v>
      </c>
      <c r="F65" s="65" t="s">
        <v>120</v>
      </c>
      <c r="G65" s="67">
        <v>46219.0</v>
      </c>
      <c r="H65" s="68" t="s">
        <v>185</v>
      </c>
      <c r="I65" s="53"/>
      <c r="J65" s="57" t="str">
        <f t="shared" si="3"/>
        <v>0x08</v>
      </c>
      <c r="K65" s="58" t="str">
        <f t="shared" si="4"/>
        <v>0x00</v>
      </c>
      <c r="L65" s="58" t="str">
        <f t="shared" si="5"/>
        <v>0x65</v>
      </c>
      <c r="M65" s="59">
        <v>1.0</v>
      </c>
      <c r="N65" s="59" t="str">
        <f t="shared" ref="N65:N67" si="23">"0x"&amp;MID($B65,9,4)</f>
        <v>0xD255</v>
      </c>
      <c r="O65" s="71" t="str">
        <f t="shared" ref="O65:O67" si="24">"0x"&amp;MID($B65,13,2)</f>
        <v>0x00</v>
      </c>
      <c r="P65" s="71" t="str">
        <f t="shared" ref="P65:P67" si="25">"0x"&amp;MID($B65,15,2)</f>
        <v>0x00</v>
      </c>
      <c r="Q65" s="71" t="str">
        <f t="shared" ref="Q65:Q67" si="26">"0x"&amp;MID($B65,17,2)</f>
        <v>0x00</v>
      </c>
      <c r="R65" s="59"/>
      <c r="S65" s="84"/>
      <c r="T65" s="84"/>
      <c r="U65" s="84"/>
      <c r="V65" s="63"/>
      <c r="W65" s="63"/>
      <c r="X65" s="63"/>
      <c r="Y65" s="63"/>
      <c r="Z65" s="63"/>
      <c r="AA65" s="63"/>
      <c r="AB65" s="63"/>
      <c r="AC65" s="63"/>
      <c r="AD65" s="63"/>
      <c r="AE65" s="63"/>
      <c r="AF65" s="63"/>
      <c r="AG65" s="63"/>
      <c r="AH65" s="63"/>
      <c r="AI65" s="63"/>
      <c r="AJ65" s="63"/>
      <c r="AK65" s="63"/>
      <c r="AL65" s="63"/>
      <c r="AM65" s="63"/>
      <c r="AN65" s="66"/>
    </row>
    <row r="66" hidden="1">
      <c r="A66" s="33" t="str">
        <f t="shared" si="2"/>
        <v>E908</v>
      </c>
      <c r="B66" s="34" t="str">
        <f>IFERROR(__xludf.DUMMYFUNCTION("REGEXREPLACE($H66, ""(?i)^8301(E000|E100|E200|E300)?"", """")"),"E9080073D255000000B0")</f>
        <v>E9080073D255000000B0</v>
      </c>
      <c r="C66" s="36" t="s">
        <v>198</v>
      </c>
      <c r="D66" s="36" t="s">
        <v>493</v>
      </c>
      <c r="E66" s="36" t="s">
        <v>75</v>
      </c>
      <c r="F66" s="36" t="s">
        <v>120</v>
      </c>
      <c r="G66" s="37">
        <v>46219.0</v>
      </c>
      <c r="H66" s="38" t="s">
        <v>186</v>
      </c>
      <c r="I66" s="35"/>
      <c r="J66" s="39" t="str">
        <f t="shared" si="3"/>
        <v>0x08</v>
      </c>
      <c r="K66" s="40" t="str">
        <f t="shared" si="4"/>
        <v>0x00</v>
      </c>
      <c r="L66" s="40" t="str">
        <f t="shared" si="5"/>
        <v>0x73</v>
      </c>
      <c r="M66" s="42">
        <v>1.0</v>
      </c>
      <c r="N66" s="42" t="str">
        <f t="shared" si="23"/>
        <v>0xD255</v>
      </c>
      <c r="O66" s="48" t="str">
        <f t="shared" si="24"/>
        <v>0x00</v>
      </c>
      <c r="P66" s="48" t="str">
        <f t="shared" si="25"/>
        <v>0x00</v>
      </c>
      <c r="Q66" s="48" t="str">
        <f t="shared" si="26"/>
        <v>0x00</v>
      </c>
      <c r="R66" s="42"/>
      <c r="S66" s="72"/>
      <c r="T66" s="72"/>
      <c r="U66" s="72"/>
      <c r="V66" s="49"/>
      <c r="W66" s="49"/>
      <c r="X66" s="49"/>
      <c r="Y66" s="49"/>
      <c r="Z66" s="49"/>
      <c r="AA66" s="49"/>
      <c r="AB66" s="49"/>
      <c r="AC66" s="49"/>
      <c r="AD66" s="49"/>
      <c r="AE66" s="49"/>
      <c r="AF66" s="49"/>
      <c r="AG66" s="49"/>
      <c r="AH66" s="49"/>
      <c r="AI66" s="49"/>
      <c r="AJ66" s="49"/>
      <c r="AK66" s="49"/>
      <c r="AL66" s="49"/>
      <c r="AM66" s="49"/>
      <c r="AN66" s="50"/>
    </row>
    <row r="67" hidden="1">
      <c r="A67" s="51" t="str">
        <f t="shared" si="2"/>
        <v>E908</v>
      </c>
      <c r="B67" s="52" t="str">
        <f>IFERROR(__xludf.DUMMYFUNCTION("REGEXREPLACE($H67, ""(?i)^8301(E000|E100|E200|E300)?"", """")"),"E908008FD255000000B0")</f>
        <v>E908008FD255000000B0</v>
      </c>
      <c r="C67" s="65" t="s">
        <v>198</v>
      </c>
      <c r="D67" s="65" t="s">
        <v>493</v>
      </c>
      <c r="E67" s="65" t="s">
        <v>75</v>
      </c>
      <c r="F67" s="65" t="s">
        <v>120</v>
      </c>
      <c r="G67" s="67">
        <v>46219.0</v>
      </c>
      <c r="H67" s="68" t="s">
        <v>187</v>
      </c>
      <c r="I67" s="53"/>
      <c r="J67" s="57" t="str">
        <f t="shared" si="3"/>
        <v>0x08</v>
      </c>
      <c r="K67" s="58" t="str">
        <f t="shared" si="4"/>
        <v>0x00</v>
      </c>
      <c r="L67" s="58" t="str">
        <f t="shared" si="5"/>
        <v>0x8F</v>
      </c>
      <c r="M67" s="59">
        <v>1.0</v>
      </c>
      <c r="N67" s="59" t="str">
        <f t="shared" si="23"/>
        <v>0xD255</v>
      </c>
      <c r="O67" s="71" t="str">
        <f t="shared" si="24"/>
        <v>0x00</v>
      </c>
      <c r="P67" s="71" t="str">
        <f t="shared" si="25"/>
        <v>0x00</v>
      </c>
      <c r="Q67" s="71" t="str">
        <f t="shared" si="26"/>
        <v>0x00</v>
      </c>
      <c r="R67" s="59"/>
      <c r="S67" s="84"/>
      <c r="T67" s="84"/>
      <c r="U67" s="84"/>
      <c r="V67" s="63"/>
      <c r="W67" s="63"/>
      <c r="X67" s="63"/>
      <c r="Y67" s="63"/>
      <c r="Z67" s="63"/>
      <c r="AA67" s="63"/>
      <c r="AB67" s="63"/>
      <c r="AC67" s="63"/>
      <c r="AD67" s="63"/>
      <c r="AE67" s="63"/>
      <c r="AF67" s="63"/>
      <c r="AG67" s="63"/>
      <c r="AH67" s="63"/>
      <c r="AI67" s="63"/>
      <c r="AJ67" s="63"/>
      <c r="AK67" s="63"/>
      <c r="AL67" s="63"/>
      <c r="AM67" s="63"/>
      <c r="AN67" s="66"/>
    </row>
    <row r="68" hidden="1">
      <c r="A68" s="33" t="str">
        <f t="shared" si="2"/>
        <v>E908</v>
      </c>
      <c r="B68" s="34" t="str">
        <f>IFERROR(__xludf.DUMMYFUNCTION("REGEXREPLACE($H68, ""(?i)^8301(E000|E100|E200|E300)?"", """")"),"E90800B50FA8A3B3B3A3")</f>
        <v>E90800B50FA8A3B3B3A3</v>
      </c>
      <c r="C68" s="36" t="s">
        <v>198</v>
      </c>
      <c r="D68" s="35"/>
      <c r="E68" s="36" t="s">
        <v>129</v>
      </c>
      <c r="F68" s="36" t="s">
        <v>130</v>
      </c>
      <c r="G68" s="37">
        <v>46249.0</v>
      </c>
      <c r="H68" s="44" t="s">
        <v>470</v>
      </c>
      <c r="I68" s="35"/>
      <c r="J68" s="39" t="str">
        <f t="shared" si="3"/>
        <v>0x08</v>
      </c>
      <c r="K68" s="40" t="str">
        <f t="shared" si="4"/>
        <v>0x00</v>
      </c>
      <c r="L68" s="40" t="str">
        <f t="shared" si="5"/>
        <v>0xB5</v>
      </c>
      <c r="M68" s="42">
        <v>5.0</v>
      </c>
      <c r="N68" s="42" t="str">
        <f>"0x"&amp;MID($B68,9,2)</f>
        <v>0x0F</v>
      </c>
      <c r="O68" s="48" t="str">
        <f>"0x"&amp;MID($B68,11,2)</f>
        <v>0xA8</v>
      </c>
      <c r="P68" s="48" t="str">
        <f>"0x"&amp;MID($B68,13,2)</f>
        <v>0xA3</v>
      </c>
      <c r="Q68" s="48" t="str">
        <f>"0x"&amp;MID($B68,15,2)</f>
        <v>0xB3</v>
      </c>
      <c r="R68" s="42"/>
      <c r="S68" s="48" t="str">
        <f>"0x"&amp;MID($B68,17,2)</f>
        <v>0xB3</v>
      </c>
      <c r="T68" s="48" t="str">
        <f>"0x"&amp;MID($B68,19,2)</f>
        <v>0xA3</v>
      </c>
      <c r="U68" s="48"/>
      <c r="V68" s="49"/>
      <c r="W68" s="49"/>
      <c r="X68" s="49"/>
      <c r="Y68" s="49"/>
      <c r="Z68" s="49"/>
      <c r="AA68" s="49"/>
      <c r="AB68" s="49"/>
      <c r="AC68" s="49"/>
      <c r="AD68" s="49"/>
      <c r="AE68" s="49"/>
      <c r="AF68" s="49"/>
      <c r="AG68" s="49"/>
      <c r="AH68" s="49"/>
      <c r="AI68" s="49"/>
      <c r="AJ68" s="49"/>
      <c r="AK68" s="49"/>
      <c r="AL68" s="49"/>
      <c r="AM68" s="49"/>
      <c r="AN68" s="50"/>
    </row>
    <row r="69" hidden="1">
      <c r="A69" s="51" t="str">
        <f t="shared" si="2"/>
        <v>E908</v>
      </c>
      <c r="B69" s="52" t="str">
        <f>IFERROR(__xludf.DUMMYFUNCTION("REGEXREPLACE($H69, ""(?i)^8301(E000|E100|E200|E300)?"", """")"),"E90800CFD255000000B0")</f>
        <v>E90800CFD255000000B0</v>
      </c>
      <c r="C69" s="65" t="s">
        <v>198</v>
      </c>
      <c r="D69" s="65" t="s">
        <v>493</v>
      </c>
      <c r="E69" s="65" t="s">
        <v>75</v>
      </c>
      <c r="F69" s="65" t="s">
        <v>120</v>
      </c>
      <c r="G69" s="67">
        <v>46219.0</v>
      </c>
      <c r="H69" s="68" t="s">
        <v>188</v>
      </c>
      <c r="I69" s="53"/>
      <c r="J69" s="57" t="str">
        <f t="shared" si="3"/>
        <v>0x08</v>
      </c>
      <c r="K69" s="58" t="str">
        <f t="shared" si="4"/>
        <v>0x00</v>
      </c>
      <c r="L69" s="58" t="str">
        <f t="shared" si="5"/>
        <v>0xCF</v>
      </c>
      <c r="M69" s="59">
        <v>1.0</v>
      </c>
      <c r="N69" s="59" t="str">
        <f>"0x"&amp;MID($B69,9,4)</f>
        <v>0xD255</v>
      </c>
      <c r="O69" s="71" t="str">
        <f>"0x"&amp;MID($B69,13,2)</f>
        <v>0x00</v>
      </c>
      <c r="P69" s="71" t="str">
        <f>"0x"&amp;MID($B69,15,2)</f>
        <v>0x00</v>
      </c>
      <c r="Q69" s="71" t="str">
        <f>"0x"&amp;MID($B69,17,2)</f>
        <v>0x00</v>
      </c>
      <c r="R69" s="59"/>
      <c r="S69" s="84"/>
      <c r="T69" s="84"/>
      <c r="U69" s="84"/>
      <c r="V69" s="63"/>
      <c r="W69" s="63"/>
      <c r="X69" s="63"/>
      <c r="Y69" s="63"/>
      <c r="Z69" s="63"/>
      <c r="AA69" s="63"/>
      <c r="AB69" s="63"/>
      <c r="AC69" s="63"/>
      <c r="AD69" s="63"/>
      <c r="AE69" s="63"/>
      <c r="AF69" s="63"/>
      <c r="AG69" s="63"/>
      <c r="AH69" s="63"/>
      <c r="AI69" s="63"/>
      <c r="AJ69" s="63"/>
      <c r="AK69" s="63"/>
      <c r="AL69" s="63"/>
      <c r="AM69" s="63"/>
      <c r="AN69" s="66"/>
    </row>
    <row r="70" hidden="1">
      <c r="A70" s="33" t="str">
        <f t="shared" si="2"/>
        <v>E908</v>
      </c>
      <c r="B70" s="34" t="str">
        <f>IFERROR(__xludf.DUMMYFUNCTION("REGEXREPLACE($H70, ""(?i)^8301(E000|E100|E200|E300)?"", """")"),"E90800EF0FA4ADADA4A4")</f>
        <v>E90800EF0FA4ADADA4A4</v>
      </c>
      <c r="C70" s="36" t="s">
        <v>198</v>
      </c>
      <c r="D70" s="36" t="s">
        <v>489</v>
      </c>
      <c r="E70" s="36" t="s">
        <v>106</v>
      </c>
      <c r="F70" s="36" t="s">
        <v>107</v>
      </c>
      <c r="G70" s="37">
        <v>46220.0</v>
      </c>
      <c r="H70" s="38" t="s">
        <v>189</v>
      </c>
      <c r="I70" s="35"/>
      <c r="J70" s="39" t="str">
        <f t="shared" si="3"/>
        <v>0x08</v>
      </c>
      <c r="K70" s="40" t="str">
        <f t="shared" si="4"/>
        <v>0x00</v>
      </c>
      <c r="L70" s="40" t="str">
        <f t="shared" si="5"/>
        <v>0xEF</v>
      </c>
      <c r="M70" s="42">
        <v>5.0</v>
      </c>
      <c r="N70" s="42" t="str">
        <f t="shared" ref="N70:N146" si="27">"0x"&amp;MID($B70,9,2)</f>
        <v>0x0F</v>
      </c>
      <c r="O70" s="48" t="str">
        <f t="shared" ref="O70:O146" si="28">"0x"&amp;MID($B70,11,2)</f>
        <v>0xA4</v>
      </c>
      <c r="P70" s="48" t="str">
        <f t="shared" ref="P70:P146" si="29">"0x"&amp;MID($B70,13,2)</f>
        <v>0xAD</v>
      </c>
      <c r="Q70" s="48" t="str">
        <f t="shared" ref="Q70:Q124" si="30">"0x"&amp;MID($B70,15,2)</f>
        <v>0xAD</v>
      </c>
      <c r="R70" s="42"/>
      <c r="S70" s="48" t="str">
        <f t="shared" ref="S70:S124" si="31">"0x"&amp;MID($B70,17,2)</f>
        <v>0xA4</v>
      </c>
      <c r="T70" s="48" t="str">
        <f t="shared" ref="T70:T124" si="32">"0x"&amp;MID($B70,19,2)</f>
        <v>0xA4</v>
      </c>
      <c r="U70" s="48"/>
      <c r="V70" s="49"/>
      <c r="W70" s="49"/>
      <c r="X70" s="49"/>
      <c r="Y70" s="49"/>
      <c r="Z70" s="49"/>
      <c r="AA70" s="49"/>
      <c r="AB70" s="49"/>
      <c r="AC70" s="49"/>
      <c r="AD70" s="49"/>
      <c r="AE70" s="49"/>
      <c r="AF70" s="49"/>
      <c r="AG70" s="49"/>
      <c r="AH70" s="49"/>
      <c r="AI70" s="49"/>
      <c r="AJ70" s="49"/>
      <c r="AK70" s="49"/>
      <c r="AL70" s="49"/>
      <c r="AM70" s="49"/>
      <c r="AN70" s="50"/>
    </row>
    <row r="71" hidden="1">
      <c r="A71" s="51" t="str">
        <f t="shared" si="2"/>
        <v>E908</v>
      </c>
      <c r="B71" s="52" t="str">
        <f>IFERROR(__xludf.DUMMYFUNCTION("REGEXREPLACE($H71, ""(?i)^8301(E000|E100|E200|E300)?"", """")"),"E90800EF0FADADADADAD")</f>
        <v>E90800EF0FADADADADAD</v>
      </c>
      <c r="C71" s="65" t="s">
        <v>198</v>
      </c>
      <c r="D71" s="65" t="s">
        <v>489</v>
      </c>
      <c r="E71" s="65" t="s">
        <v>106</v>
      </c>
      <c r="F71" s="65" t="s">
        <v>107</v>
      </c>
      <c r="G71" s="67">
        <v>46220.0</v>
      </c>
      <c r="H71" s="68" t="s">
        <v>180</v>
      </c>
      <c r="I71" s="53"/>
      <c r="J71" s="57" t="str">
        <f t="shared" si="3"/>
        <v>0x08</v>
      </c>
      <c r="K71" s="58" t="str">
        <f t="shared" si="4"/>
        <v>0x00</v>
      </c>
      <c r="L71" s="58" t="str">
        <f t="shared" si="5"/>
        <v>0xEF</v>
      </c>
      <c r="M71" s="59">
        <v>5.0</v>
      </c>
      <c r="N71" s="59" t="str">
        <f t="shared" si="27"/>
        <v>0x0F</v>
      </c>
      <c r="O71" s="71" t="str">
        <f t="shared" si="28"/>
        <v>0xAD</v>
      </c>
      <c r="P71" s="71" t="str">
        <f t="shared" si="29"/>
        <v>0xAD</v>
      </c>
      <c r="Q71" s="71" t="str">
        <f t="shared" si="30"/>
        <v>0xAD</v>
      </c>
      <c r="R71" s="59"/>
      <c r="S71" s="71" t="str">
        <f t="shared" si="31"/>
        <v>0xAD</v>
      </c>
      <c r="T71" s="71" t="str">
        <f t="shared" si="32"/>
        <v>0xAD</v>
      </c>
      <c r="U71" s="84"/>
      <c r="V71" s="63"/>
      <c r="W71" s="63"/>
      <c r="X71" s="63"/>
      <c r="Y71" s="63"/>
      <c r="Z71" s="63"/>
      <c r="AA71" s="63"/>
      <c r="AB71" s="63"/>
      <c r="AC71" s="63"/>
      <c r="AD71" s="63"/>
      <c r="AE71" s="63"/>
      <c r="AF71" s="63"/>
      <c r="AG71" s="63"/>
      <c r="AH71" s="63"/>
      <c r="AI71" s="63"/>
      <c r="AJ71" s="63"/>
      <c r="AK71" s="63"/>
      <c r="AL71" s="63"/>
      <c r="AM71" s="63"/>
      <c r="AN71" s="66"/>
    </row>
    <row r="72" hidden="1">
      <c r="A72" s="33" t="str">
        <f t="shared" si="2"/>
        <v>E909</v>
      </c>
      <c r="B72" s="34" t="str">
        <f>IFERROR(__xludf.DUMMYFUNCTION("REGEXREPLACE($H72, ""(?i)^8301(E000|E100|E200|E300)?"", """")"),"E90900010FB1B1B1BDBDB3")</f>
        <v>E90900010FB1B1B1BDBDB3</v>
      </c>
      <c r="C72" s="36" t="s">
        <v>198</v>
      </c>
      <c r="D72" s="36" t="s">
        <v>489</v>
      </c>
      <c r="E72" s="36" t="s">
        <v>75</v>
      </c>
      <c r="F72" s="36" t="s">
        <v>143</v>
      </c>
      <c r="G72" s="37">
        <v>46208.0</v>
      </c>
      <c r="H72" s="38" t="s">
        <v>191</v>
      </c>
      <c r="I72" s="35"/>
      <c r="J72" s="39" t="str">
        <f t="shared" si="3"/>
        <v>0x09</v>
      </c>
      <c r="K72" s="40" t="str">
        <f t="shared" si="4"/>
        <v>0x00</v>
      </c>
      <c r="L72" s="40" t="str">
        <f t="shared" si="5"/>
        <v>0x01</v>
      </c>
      <c r="M72" s="42">
        <v>5.0</v>
      </c>
      <c r="N72" s="42" t="str">
        <f t="shared" si="27"/>
        <v>0x0F</v>
      </c>
      <c r="O72" s="48" t="str">
        <f t="shared" si="28"/>
        <v>0xB1</v>
      </c>
      <c r="P72" s="48" t="str">
        <f t="shared" si="29"/>
        <v>0xB1</v>
      </c>
      <c r="Q72" s="48" t="str">
        <f t="shared" si="30"/>
        <v>0xB1</v>
      </c>
      <c r="R72" s="42"/>
      <c r="S72" s="48" t="str">
        <f t="shared" si="31"/>
        <v>0xBD</v>
      </c>
      <c r="T72" s="48" t="str">
        <f t="shared" si="32"/>
        <v>0xBD</v>
      </c>
      <c r="U72" s="48"/>
      <c r="V72" s="49"/>
      <c r="W72" s="49"/>
      <c r="X72" s="49"/>
      <c r="Y72" s="49"/>
      <c r="Z72" s="49"/>
      <c r="AA72" s="49"/>
      <c r="AB72" s="49"/>
      <c r="AC72" s="49"/>
      <c r="AD72" s="49"/>
      <c r="AE72" s="49"/>
      <c r="AF72" s="49"/>
      <c r="AG72" s="49"/>
      <c r="AH72" s="49"/>
      <c r="AI72" s="49"/>
      <c r="AJ72" s="49"/>
      <c r="AK72" s="49"/>
      <c r="AL72" s="49"/>
      <c r="AM72" s="49"/>
      <c r="AN72" s="64" t="str">
        <f t="shared" ref="AN72:AN123" si="33">"0x"&amp;MID($B72,21,2)</f>
        <v>0xB3</v>
      </c>
    </row>
    <row r="73" hidden="1">
      <c r="A73" s="51" t="str">
        <f t="shared" si="2"/>
        <v>E909</v>
      </c>
      <c r="B73" s="52" t="str">
        <f>IFERROR(__xludf.DUMMYFUNCTION("REGEXREPLACE($H73, ""(?i)^8301(E000|E100|E200|E300)?"", """")"),"E90900010FB1BDBDB1B1B3")</f>
        <v>E90900010FB1BDBDB1B1B3</v>
      </c>
      <c r="C73" s="65" t="s">
        <v>198</v>
      </c>
      <c r="D73" s="65" t="s">
        <v>489</v>
      </c>
      <c r="E73" s="65" t="s">
        <v>75</v>
      </c>
      <c r="F73" s="65" t="s">
        <v>143</v>
      </c>
      <c r="G73" s="67">
        <v>46208.0</v>
      </c>
      <c r="H73" s="68" t="s">
        <v>192</v>
      </c>
      <c r="I73" s="53"/>
      <c r="J73" s="57" t="str">
        <f t="shared" si="3"/>
        <v>0x09</v>
      </c>
      <c r="K73" s="58" t="str">
        <f t="shared" si="4"/>
        <v>0x00</v>
      </c>
      <c r="L73" s="58" t="str">
        <f t="shared" si="5"/>
        <v>0x01</v>
      </c>
      <c r="M73" s="59">
        <v>5.0</v>
      </c>
      <c r="N73" s="59" t="str">
        <f t="shared" si="27"/>
        <v>0x0F</v>
      </c>
      <c r="O73" s="71" t="str">
        <f t="shared" si="28"/>
        <v>0xB1</v>
      </c>
      <c r="P73" s="71" t="str">
        <f t="shared" si="29"/>
        <v>0xBD</v>
      </c>
      <c r="Q73" s="71" t="str">
        <f t="shared" si="30"/>
        <v>0xBD</v>
      </c>
      <c r="R73" s="59"/>
      <c r="S73" s="71" t="str">
        <f t="shared" si="31"/>
        <v>0xB1</v>
      </c>
      <c r="T73" s="71" t="str">
        <f t="shared" si="32"/>
        <v>0xB1</v>
      </c>
      <c r="U73" s="71"/>
      <c r="V73" s="63"/>
      <c r="W73" s="63"/>
      <c r="X73" s="63"/>
      <c r="Y73" s="63"/>
      <c r="Z73" s="63"/>
      <c r="AA73" s="63"/>
      <c r="AB73" s="63"/>
      <c r="AC73" s="63"/>
      <c r="AD73" s="63"/>
      <c r="AE73" s="63"/>
      <c r="AF73" s="63"/>
      <c r="AG73" s="63"/>
      <c r="AH73" s="63"/>
      <c r="AI73" s="63"/>
      <c r="AJ73" s="63"/>
      <c r="AK73" s="63"/>
      <c r="AL73" s="63"/>
      <c r="AM73" s="63"/>
      <c r="AN73" s="74" t="str">
        <f t="shared" si="33"/>
        <v>0xB3</v>
      </c>
    </row>
    <row r="74" hidden="1">
      <c r="A74" s="33" t="str">
        <f t="shared" si="2"/>
        <v>E909</v>
      </c>
      <c r="B74" s="34" t="str">
        <f>IFERROR(__xludf.DUMMYFUNCTION("REGEXREPLACE($H74, ""(?i)^8301(E000|E100|E200|E300)?"", """")"),"E90900010FB2B5A4A4B5B0")</f>
        <v>E90900010FB2B5A4A4B5B0</v>
      </c>
      <c r="C74" s="36" t="s">
        <v>198</v>
      </c>
      <c r="D74" s="36" t="s">
        <v>489</v>
      </c>
      <c r="E74" s="36" t="s">
        <v>129</v>
      </c>
      <c r="F74" s="36" t="s">
        <v>137</v>
      </c>
      <c r="G74" s="37">
        <v>46207.0</v>
      </c>
      <c r="H74" s="44" t="s">
        <v>193</v>
      </c>
      <c r="I74" s="35"/>
      <c r="J74" s="39" t="str">
        <f t="shared" si="3"/>
        <v>0x09</v>
      </c>
      <c r="K74" s="40" t="str">
        <f t="shared" si="4"/>
        <v>0x00</v>
      </c>
      <c r="L74" s="40" t="str">
        <f t="shared" si="5"/>
        <v>0x01</v>
      </c>
      <c r="M74" s="42">
        <v>5.0</v>
      </c>
      <c r="N74" s="42" t="str">
        <f t="shared" si="27"/>
        <v>0x0F</v>
      </c>
      <c r="O74" s="48" t="str">
        <f t="shared" si="28"/>
        <v>0xB2</v>
      </c>
      <c r="P74" s="48" t="str">
        <f t="shared" si="29"/>
        <v>0xB5</v>
      </c>
      <c r="Q74" s="48" t="str">
        <f t="shared" si="30"/>
        <v>0xA4</v>
      </c>
      <c r="R74" s="42"/>
      <c r="S74" s="48" t="str">
        <f t="shared" si="31"/>
        <v>0xA4</v>
      </c>
      <c r="T74" s="48" t="str">
        <f t="shared" si="32"/>
        <v>0xB5</v>
      </c>
      <c r="U74" s="48"/>
      <c r="V74" s="49"/>
      <c r="W74" s="49"/>
      <c r="X74" s="49"/>
      <c r="Y74" s="49"/>
      <c r="Z74" s="49"/>
      <c r="AA74" s="49"/>
      <c r="AB74" s="49"/>
      <c r="AC74" s="49"/>
      <c r="AD74" s="49"/>
      <c r="AE74" s="49"/>
      <c r="AF74" s="49"/>
      <c r="AG74" s="49"/>
      <c r="AH74" s="49"/>
      <c r="AI74" s="49"/>
      <c r="AJ74" s="49"/>
      <c r="AK74" s="49"/>
      <c r="AL74" s="49"/>
      <c r="AM74" s="49"/>
      <c r="AN74" s="64" t="str">
        <f t="shared" si="33"/>
        <v>0xB0</v>
      </c>
    </row>
    <row r="75" hidden="1">
      <c r="A75" s="51" t="str">
        <f t="shared" si="2"/>
        <v>E909</v>
      </c>
      <c r="B75" s="52" t="str">
        <f>IFERROR(__xludf.DUMMYFUNCTION("REGEXREPLACE($H75, ""(?i)^8301(E000|E100|E200|E300)?"", """")"),"E90900010FBDB5B5BDBDB0")</f>
        <v>E90900010FBDB5B5BDBDB0</v>
      </c>
      <c r="C75" s="65" t="s">
        <v>198</v>
      </c>
      <c r="D75" s="65" t="s">
        <v>489</v>
      </c>
      <c r="E75" s="65" t="s">
        <v>75</v>
      </c>
      <c r="F75" s="65" t="s">
        <v>143</v>
      </c>
      <c r="G75" s="67">
        <v>46208.0</v>
      </c>
      <c r="H75" s="68" t="s">
        <v>194</v>
      </c>
      <c r="I75" s="53"/>
      <c r="J75" s="57" t="str">
        <f t="shared" si="3"/>
        <v>0x09</v>
      </c>
      <c r="K75" s="58" t="str">
        <f t="shared" si="4"/>
        <v>0x00</v>
      </c>
      <c r="L75" s="58" t="str">
        <f t="shared" si="5"/>
        <v>0x01</v>
      </c>
      <c r="M75" s="59">
        <v>5.0</v>
      </c>
      <c r="N75" s="59" t="str">
        <f t="shared" si="27"/>
        <v>0x0F</v>
      </c>
      <c r="O75" s="71" t="str">
        <f t="shared" si="28"/>
        <v>0xBD</v>
      </c>
      <c r="P75" s="71" t="str">
        <f t="shared" si="29"/>
        <v>0xB5</v>
      </c>
      <c r="Q75" s="71" t="str">
        <f t="shared" si="30"/>
        <v>0xB5</v>
      </c>
      <c r="R75" s="59"/>
      <c r="S75" s="71" t="str">
        <f t="shared" si="31"/>
        <v>0xBD</v>
      </c>
      <c r="T75" s="71" t="str">
        <f t="shared" si="32"/>
        <v>0xBD</v>
      </c>
      <c r="U75" s="71"/>
      <c r="V75" s="63"/>
      <c r="W75" s="63"/>
      <c r="X75" s="63"/>
      <c r="Y75" s="63"/>
      <c r="Z75" s="63"/>
      <c r="AA75" s="63"/>
      <c r="AB75" s="63"/>
      <c r="AC75" s="63"/>
      <c r="AD75" s="63"/>
      <c r="AE75" s="63"/>
      <c r="AF75" s="63"/>
      <c r="AG75" s="63"/>
      <c r="AH75" s="63"/>
      <c r="AI75" s="63"/>
      <c r="AJ75" s="63"/>
      <c r="AK75" s="63"/>
      <c r="AL75" s="63"/>
      <c r="AM75" s="63"/>
      <c r="AN75" s="74" t="str">
        <f t="shared" si="33"/>
        <v>0xB0</v>
      </c>
    </row>
    <row r="76" hidden="1">
      <c r="A76" s="33" t="str">
        <f t="shared" si="2"/>
        <v>E909</v>
      </c>
      <c r="B76" s="34" t="str">
        <f>IFERROR(__xludf.DUMMYFUNCTION("REGEXREPLACE($H76, ""(?i)^8301(E000|E100|E200|E300)?"", """")"),"E90900050FA7A7B1A7B1B0")</f>
        <v>E90900050FA7A7B1A7B1B0</v>
      </c>
      <c r="C76" s="36" t="s">
        <v>198</v>
      </c>
      <c r="D76" s="36" t="s">
        <v>489</v>
      </c>
      <c r="E76" s="36" t="s">
        <v>75</v>
      </c>
      <c r="F76" s="36" t="s">
        <v>120</v>
      </c>
      <c r="G76" s="37">
        <v>46228.0</v>
      </c>
      <c r="H76" s="38" t="s">
        <v>195</v>
      </c>
      <c r="I76" s="35"/>
      <c r="J76" s="39" t="str">
        <f t="shared" si="3"/>
        <v>0x09</v>
      </c>
      <c r="K76" s="40" t="str">
        <f t="shared" si="4"/>
        <v>0x00</v>
      </c>
      <c r="L76" s="40" t="str">
        <f t="shared" si="5"/>
        <v>0x05</v>
      </c>
      <c r="M76" s="42">
        <v>5.0</v>
      </c>
      <c r="N76" s="42" t="str">
        <f t="shared" si="27"/>
        <v>0x0F</v>
      </c>
      <c r="O76" s="48" t="str">
        <f t="shared" si="28"/>
        <v>0xA7</v>
      </c>
      <c r="P76" s="48" t="str">
        <f t="shared" si="29"/>
        <v>0xA7</v>
      </c>
      <c r="Q76" s="48" t="str">
        <f t="shared" si="30"/>
        <v>0xB1</v>
      </c>
      <c r="R76" s="42"/>
      <c r="S76" s="48" t="str">
        <f t="shared" si="31"/>
        <v>0xA7</v>
      </c>
      <c r="T76" s="48" t="str">
        <f t="shared" si="32"/>
        <v>0xB1</v>
      </c>
      <c r="U76" s="48"/>
      <c r="V76" s="49"/>
      <c r="W76" s="49"/>
      <c r="X76" s="49"/>
      <c r="Y76" s="49"/>
      <c r="Z76" s="49"/>
      <c r="AA76" s="49"/>
      <c r="AB76" s="49"/>
      <c r="AC76" s="49"/>
      <c r="AD76" s="49"/>
      <c r="AE76" s="49"/>
      <c r="AF76" s="49"/>
      <c r="AG76" s="49"/>
      <c r="AH76" s="49"/>
      <c r="AI76" s="49"/>
      <c r="AJ76" s="49"/>
      <c r="AK76" s="49"/>
      <c r="AL76" s="49"/>
      <c r="AM76" s="49"/>
      <c r="AN76" s="64" t="str">
        <f t="shared" si="33"/>
        <v>0xB0</v>
      </c>
    </row>
    <row r="77" hidden="1">
      <c r="A77" s="51" t="str">
        <f t="shared" si="2"/>
        <v>E909</v>
      </c>
      <c r="B77" s="52" t="str">
        <f>IFERROR(__xludf.DUMMYFUNCTION("REGEXREPLACE($H77, ""(?i)^8301(E000|E100|E200|E300)?"", """")"),"E90900050FA7B1B1B1B1B0")</f>
        <v>E90900050FA7B1B1B1B1B0</v>
      </c>
      <c r="C77" s="65" t="s">
        <v>198</v>
      </c>
      <c r="D77" s="65" t="s">
        <v>489</v>
      </c>
      <c r="E77" s="65" t="s">
        <v>75</v>
      </c>
      <c r="F77" s="65" t="s">
        <v>120</v>
      </c>
      <c r="G77" s="67">
        <v>46228.0</v>
      </c>
      <c r="H77" s="68" t="s">
        <v>196</v>
      </c>
      <c r="I77" s="53"/>
      <c r="J77" s="57" t="str">
        <f t="shared" si="3"/>
        <v>0x09</v>
      </c>
      <c r="K77" s="58" t="str">
        <f t="shared" si="4"/>
        <v>0x00</v>
      </c>
      <c r="L77" s="58" t="str">
        <f t="shared" si="5"/>
        <v>0x05</v>
      </c>
      <c r="M77" s="59">
        <v>5.0</v>
      </c>
      <c r="N77" s="59" t="str">
        <f t="shared" si="27"/>
        <v>0x0F</v>
      </c>
      <c r="O77" s="71" t="str">
        <f t="shared" si="28"/>
        <v>0xA7</v>
      </c>
      <c r="P77" s="71" t="str">
        <f t="shared" si="29"/>
        <v>0xB1</v>
      </c>
      <c r="Q77" s="71" t="str">
        <f t="shared" si="30"/>
        <v>0xB1</v>
      </c>
      <c r="R77" s="59"/>
      <c r="S77" s="71" t="str">
        <f t="shared" si="31"/>
        <v>0xB1</v>
      </c>
      <c r="T77" s="71" t="str">
        <f t="shared" si="32"/>
        <v>0xB1</v>
      </c>
      <c r="U77" s="71"/>
      <c r="V77" s="63"/>
      <c r="W77" s="63"/>
      <c r="X77" s="63"/>
      <c r="Y77" s="63"/>
      <c r="Z77" s="63"/>
      <c r="AA77" s="63"/>
      <c r="AB77" s="63"/>
      <c r="AC77" s="63"/>
      <c r="AD77" s="63"/>
      <c r="AE77" s="63"/>
      <c r="AF77" s="63"/>
      <c r="AG77" s="63"/>
      <c r="AH77" s="63"/>
      <c r="AI77" s="63"/>
      <c r="AJ77" s="63"/>
      <c r="AK77" s="63"/>
      <c r="AL77" s="63"/>
      <c r="AM77" s="63"/>
      <c r="AN77" s="74" t="str">
        <f t="shared" si="33"/>
        <v>0xB0</v>
      </c>
    </row>
    <row r="78" hidden="1">
      <c r="A78" s="33" t="str">
        <f t="shared" si="2"/>
        <v>E909</v>
      </c>
      <c r="B78" s="34" t="str">
        <f>IFERROR(__xludf.DUMMYFUNCTION("REGEXREPLACE($H78, ""(?i)^8301(E000|E100|E200|E300)?"", """")"),"E90900050FADADB1ADB1B0")</f>
        <v>E90900050FADADB1ADB1B0</v>
      </c>
      <c r="C78" s="36" t="s">
        <v>198</v>
      </c>
      <c r="D78" s="36" t="s">
        <v>489</v>
      </c>
      <c r="E78" s="36" t="s">
        <v>75</v>
      </c>
      <c r="F78" s="36" t="s">
        <v>120</v>
      </c>
      <c r="G78" s="37">
        <v>46228.0</v>
      </c>
      <c r="H78" s="38" t="s">
        <v>197</v>
      </c>
      <c r="I78" s="35"/>
      <c r="J78" s="39" t="str">
        <f t="shared" si="3"/>
        <v>0x09</v>
      </c>
      <c r="K78" s="40" t="str">
        <f t="shared" si="4"/>
        <v>0x00</v>
      </c>
      <c r="L78" s="40" t="str">
        <f t="shared" si="5"/>
        <v>0x05</v>
      </c>
      <c r="M78" s="42">
        <v>5.0</v>
      </c>
      <c r="N78" s="42" t="str">
        <f t="shared" si="27"/>
        <v>0x0F</v>
      </c>
      <c r="O78" s="48" t="str">
        <f t="shared" si="28"/>
        <v>0xAD</v>
      </c>
      <c r="P78" s="48" t="str">
        <f t="shared" si="29"/>
        <v>0xAD</v>
      </c>
      <c r="Q78" s="48" t="str">
        <f t="shared" si="30"/>
        <v>0xB1</v>
      </c>
      <c r="R78" s="42"/>
      <c r="S78" s="48" t="str">
        <f t="shared" si="31"/>
        <v>0xAD</v>
      </c>
      <c r="T78" s="48" t="str">
        <f t="shared" si="32"/>
        <v>0xB1</v>
      </c>
      <c r="U78" s="48"/>
      <c r="V78" s="49"/>
      <c r="W78" s="49"/>
      <c r="X78" s="49"/>
      <c r="Y78" s="49"/>
      <c r="Z78" s="49"/>
      <c r="AA78" s="49"/>
      <c r="AB78" s="49"/>
      <c r="AC78" s="49"/>
      <c r="AD78" s="49"/>
      <c r="AE78" s="49"/>
      <c r="AF78" s="49"/>
      <c r="AG78" s="49"/>
      <c r="AH78" s="49"/>
      <c r="AI78" s="49"/>
      <c r="AJ78" s="49"/>
      <c r="AK78" s="49"/>
      <c r="AL78" s="49"/>
      <c r="AM78" s="49"/>
      <c r="AN78" s="64" t="str">
        <f t="shared" si="33"/>
        <v>0xB0</v>
      </c>
    </row>
    <row r="79" hidden="1">
      <c r="A79" s="51" t="str">
        <f t="shared" si="2"/>
        <v>E909</v>
      </c>
      <c r="B79" s="52" t="str">
        <f>IFERROR(__xludf.DUMMYFUNCTION("REGEXREPLACE($H79, ""(?i)^8301(E000|E100|E200|E300)?"", """")"),"E90900050FB1B1ADB1ADB0")</f>
        <v>E90900050FB1B1ADB1ADB0</v>
      </c>
      <c r="C79" s="65" t="s">
        <v>198</v>
      </c>
      <c r="D79" s="65" t="s">
        <v>489</v>
      </c>
      <c r="E79" s="65" t="s">
        <v>75</v>
      </c>
      <c r="F79" s="65" t="s">
        <v>120</v>
      </c>
      <c r="G79" s="67">
        <v>46228.0</v>
      </c>
      <c r="H79" s="68" t="s">
        <v>199</v>
      </c>
      <c r="I79" s="53"/>
      <c r="J79" s="57" t="str">
        <f t="shared" si="3"/>
        <v>0x09</v>
      </c>
      <c r="K79" s="58" t="str">
        <f t="shared" si="4"/>
        <v>0x00</v>
      </c>
      <c r="L79" s="58" t="str">
        <f t="shared" si="5"/>
        <v>0x05</v>
      </c>
      <c r="M79" s="59">
        <v>5.0</v>
      </c>
      <c r="N79" s="59" t="str">
        <f t="shared" si="27"/>
        <v>0x0F</v>
      </c>
      <c r="O79" s="71" t="str">
        <f t="shared" si="28"/>
        <v>0xB1</v>
      </c>
      <c r="P79" s="71" t="str">
        <f t="shared" si="29"/>
        <v>0xB1</v>
      </c>
      <c r="Q79" s="71" t="str">
        <f t="shared" si="30"/>
        <v>0xAD</v>
      </c>
      <c r="R79" s="59"/>
      <c r="S79" s="71" t="str">
        <f t="shared" si="31"/>
        <v>0xB1</v>
      </c>
      <c r="T79" s="71" t="str">
        <f t="shared" si="32"/>
        <v>0xAD</v>
      </c>
      <c r="U79" s="71"/>
      <c r="V79" s="63"/>
      <c r="W79" s="63"/>
      <c r="X79" s="63"/>
      <c r="Y79" s="63"/>
      <c r="Z79" s="63"/>
      <c r="AA79" s="63"/>
      <c r="AB79" s="63"/>
      <c r="AC79" s="63"/>
      <c r="AD79" s="63"/>
      <c r="AE79" s="63"/>
      <c r="AF79" s="63"/>
      <c r="AG79" s="63"/>
      <c r="AH79" s="63"/>
      <c r="AI79" s="63"/>
      <c r="AJ79" s="63"/>
      <c r="AK79" s="63"/>
      <c r="AL79" s="63"/>
      <c r="AM79" s="63"/>
      <c r="AN79" s="74" t="str">
        <f t="shared" si="33"/>
        <v>0xB0</v>
      </c>
    </row>
    <row r="80" hidden="1">
      <c r="A80" s="33" t="str">
        <f t="shared" si="2"/>
        <v>E909</v>
      </c>
      <c r="B80" s="34" t="str">
        <f>IFERROR(__xludf.DUMMYFUNCTION("REGEXREPLACE($H80, ""(?i)^8301(E000|E100|E200|E300)?"", """")"),"E90900050FB1B1B1B1B1B0")</f>
        <v>E90900050FB1B1B1B1B1B0</v>
      </c>
      <c r="C80" s="36" t="s">
        <v>198</v>
      </c>
      <c r="D80" s="36" t="s">
        <v>489</v>
      </c>
      <c r="E80" s="36" t="s">
        <v>75</v>
      </c>
      <c r="F80" s="36" t="s">
        <v>120</v>
      </c>
      <c r="G80" s="37">
        <v>46228.0</v>
      </c>
      <c r="H80" s="38" t="s">
        <v>200</v>
      </c>
      <c r="I80" s="35"/>
      <c r="J80" s="39" t="str">
        <f t="shared" si="3"/>
        <v>0x09</v>
      </c>
      <c r="K80" s="40" t="str">
        <f t="shared" si="4"/>
        <v>0x00</v>
      </c>
      <c r="L80" s="40" t="str">
        <f t="shared" si="5"/>
        <v>0x05</v>
      </c>
      <c r="M80" s="42">
        <v>5.0</v>
      </c>
      <c r="N80" s="42" t="str">
        <f t="shared" si="27"/>
        <v>0x0F</v>
      </c>
      <c r="O80" s="48" t="str">
        <f t="shared" si="28"/>
        <v>0xB1</v>
      </c>
      <c r="P80" s="48" t="str">
        <f t="shared" si="29"/>
        <v>0xB1</v>
      </c>
      <c r="Q80" s="48" t="str">
        <f t="shared" si="30"/>
        <v>0xB1</v>
      </c>
      <c r="R80" s="42"/>
      <c r="S80" s="48" t="str">
        <f t="shared" si="31"/>
        <v>0xB1</v>
      </c>
      <c r="T80" s="48" t="str">
        <f t="shared" si="32"/>
        <v>0xB1</v>
      </c>
      <c r="U80" s="48"/>
      <c r="V80" s="49"/>
      <c r="W80" s="49"/>
      <c r="X80" s="49"/>
      <c r="Y80" s="49"/>
      <c r="Z80" s="49"/>
      <c r="AA80" s="49"/>
      <c r="AB80" s="49"/>
      <c r="AC80" s="49"/>
      <c r="AD80" s="49"/>
      <c r="AE80" s="49"/>
      <c r="AF80" s="49"/>
      <c r="AG80" s="49"/>
      <c r="AH80" s="49"/>
      <c r="AI80" s="49"/>
      <c r="AJ80" s="49"/>
      <c r="AK80" s="49"/>
      <c r="AL80" s="49"/>
      <c r="AM80" s="49"/>
      <c r="AN80" s="64" t="str">
        <f t="shared" si="33"/>
        <v>0xB0</v>
      </c>
    </row>
    <row r="81" hidden="1">
      <c r="A81" s="51" t="str">
        <f t="shared" si="2"/>
        <v>E909</v>
      </c>
      <c r="B81" s="52" t="str">
        <f>IFERROR(__xludf.DUMMYFUNCTION("REGEXREPLACE($H81, ""(?i)^8301(E000|E100|E200|E300)?"", """")"),"E909000F0FA3B5B5A1A1B0")</f>
        <v>E909000F0FA3B5B5A1A1B0</v>
      </c>
      <c r="C81" s="65" t="s">
        <v>198</v>
      </c>
      <c r="D81" s="65" t="s">
        <v>489</v>
      </c>
      <c r="E81" s="65" t="s">
        <v>75</v>
      </c>
      <c r="F81" s="65" t="s">
        <v>120</v>
      </c>
      <c r="G81" s="67">
        <v>46219.0</v>
      </c>
      <c r="H81" s="68" t="s">
        <v>201</v>
      </c>
      <c r="I81" s="53"/>
      <c r="J81" s="57" t="str">
        <f t="shared" si="3"/>
        <v>0x09</v>
      </c>
      <c r="K81" s="58" t="str">
        <f t="shared" si="4"/>
        <v>0x00</v>
      </c>
      <c r="L81" s="58" t="str">
        <f t="shared" si="5"/>
        <v>0x0F</v>
      </c>
      <c r="M81" s="59">
        <v>5.0</v>
      </c>
      <c r="N81" s="59" t="str">
        <f t="shared" si="27"/>
        <v>0x0F</v>
      </c>
      <c r="O81" s="71" t="str">
        <f t="shared" si="28"/>
        <v>0xA3</v>
      </c>
      <c r="P81" s="71" t="str">
        <f t="shared" si="29"/>
        <v>0xB5</v>
      </c>
      <c r="Q81" s="71" t="str">
        <f t="shared" si="30"/>
        <v>0xB5</v>
      </c>
      <c r="R81" s="59"/>
      <c r="S81" s="71" t="str">
        <f t="shared" si="31"/>
        <v>0xA1</v>
      </c>
      <c r="T81" s="71" t="str">
        <f t="shared" si="32"/>
        <v>0xA1</v>
      </c>
      <c r="U81" s="71"/>
      <c r="V81" s="63"/>
      <c r="W81" s="63"/>
      <c r="X81" s="63"/>
      <c r="Y81" s="63"/>
      <c r="Z81" s="63"/>
      <c r="AA81" s="63"/>
      <c r="AB81" s="63"/>
      <c r="AC81" s="63"/>
      <c r="AD81" s="63"/>
      <c r="AE81" s="63"/>
      <c r="AF81" s="63"/>
      <c r="AG81" s="63"/>
      <c r="AH81" s="63"/>
      <c r="AI81" s="63"/>
      <c r="AJ81" s="63"/>
      <c r="AK81" s="63"/>
      <c r="AL81" s="63"/>
      <c r="AM81" s="63"/>
      <c r="AN81" s="74" t="str">
        <f t="shared" si="33"/>
        <v>0xB0</v>
      </c>
    </row>
    <row r="82" hidden="1">
      <c r="A82" s="33" t="str">
        <f t="shared" si="2"/>
        <v>E909</v>
      </c>
      <c r="B82" s="34" t="str">
        <f>IFERROR(__xludf.DUMMYFUNCTION("REGEXREPLACE($H82, ""(?i)^8301(E000|E100|E200|E300)?"", """")"),"E909000F0FAFA4B9A4B9B0")</f>
        <v>E909000F0FAFA4B9A4B9B0</v>
      </c>
      <c r="C82" s="36" t="s">
        <v>198</v>
      </c>
      <c r="D82" s="36" t="s">
        <v>489</v>
      </c>
      <c r="E82" s="36" t="s">
        <v>75</v>
      </c>
      <c r="F82" s="36" t="s">
        <v>120</v>
      </c>
      <c r="G82" s="37">
        <v>46228.0</v>
      </c>
      <c r="H82" s="38" t="s">
        <v>203</v>
      </c>
      <c r="I82" s="35"/>
      <c r="J82" s="39" t="str">
        <f t="shared" si="3"/>
        <v>0x09</v>
      </c>
      <c r="K82" s="40" t="str">
        <f t="shared" si="4"/>
        <v>0x00</v>
      </c>
      <c r="L82" s="40" t="str">
        <f t="shared" si="5"/>
        <v>0x0F</v>
      </c>
      <c r="M82" s="42">
        <v>5.0</v>
      </c>
      <c r="N82" s="42" t="str">
        <f t="shared" si="27"/>
        <v>0x0F</v>
      </c>
      <c r="O82" s="48" t="str">
        <f t="shared" si="28"/>
        <v>0xAF</v>
      </c>
      <c r="P82" s="48" t="str">
        <f t="shared" si="29"/>
        <v>0xA4</v>
      </c>
      <c r="Q82" s="48" t="str">
        <f t="shared" si="30"/>
        <v>0xB9</v>
      </c>
      <c r="R82" s="42"/>
      <c r="S82" s="48" t="str">
        <f t="shared" si="31"/>
        <v>0xA4</v>
      </c>
      <c r="T82" s="48" t="str">
        <f t="shared" si="32"/>
        <v>0xB9</v>
      </c>
      <c r="U82" s="48"/>
      <c r="V82" s="49"/>
      <c r="W82" s="49"/>
      <c r="X82" s="49"/>
      <c r="Y82" s="49"/>
      <c r="Z82" s="49"/>
      <c r="AA82" s="49"/>
      <c r="AB82" s="49"/>
      <c r="AC82" s="49"/>
      <c r="AD82" s="49"/>
      <c r="AE82" s="49"/>
      <c r="AF82" s="49"/>
      <c r="AG82" s="49"/>
      <c r="AH82" s="49"/>
      <c r="AI82" s="49"/>
      <c r="AJ82" s="49"/>
      <c r="AK82" s="49"/>
      <c r="AL82" s="49"/>
      <c r="AM82" s="49"/>
      <c r="AN82" s="64" t="str">
        <f t="shared" si="33"/>
        <v>0xB0</v>
      </c>
    </row>
    <row r="83" hidden="1">
      <c r="A83" s="51" t="str">
        <f t="shared" si="2"/>
        <v>E909</v>
      </c>
      <c r="B83" s="52" t="str">
        <f>IFERROR(__xludf.DUMMYFUNCTION("REGEXREPLACE($H83, ""(?i)^8301(E000|E100|E200|E300)?"", """")"),"E909000F0FB1B9B5B1A2B0")</f>
        <v>E909000F0FB1B9B5B1A2B0</v>
      </c>
      <c r="C83" s="65" t="s">
        <v>198</v>
      </c>
      <c r="D83" s="65" t="s">
        <v>489</v>
      </c>
      <c r="E83" s="65" t="s">
        <v>75</v>
      </c>
      <c r="F83" s="65" t="s">
        <v>120</v>
      </c>
      <c r="G83" s="67">
        <v>46228.0</v>
      </c>
      <c r="H83" s="68" t="s">
        <v>204</v>
      </c>
      <c r="I83" s="53"/>
      <c r="J83" s="57" t="str">
        <f t="shared" si="3"/>
        <v>0x09</v>
      </c>
      <c r="K83" s="58" t="str">
        <f t="shared" si="4"/>
        <v>0x00</v>
      </c>
      <c r="L83" s="58" t="str">
        <f t="shared" si="5"/>
        <v>0x0F</v>
      </c>
      <c r="M83" s="59">
        <v>5.0</v>
      </c>
      <c r="N83" s="59" t="str">
        <f t="shared" si="27"/>
        <v>0x0F</v>
      </c>
      <c r="O83" s="71" t="str">
        <f t="shared" si="28"/>
        <v>0xB1</v>
      </c>
      <c r="P83" s="71" t="str">
        <f t="shared" si="29"/>
        <v>0xB9</v>
      </c>
      <c r="Q83" s="71" t="str">
        <f t="shared" si="30"/>
        <v>0xB5</v>
      </c>
      <c r="R83" s="59"/>
      <c r="S83" s="71" t="str">
        <f t="shared" si="31"/>
        <v>0xB1</v>
      </c>
      <c r="T83" s="71" t="str">
        <f t="shared" si="32"/>
        <v>0xA2</v>
      </c>
      <c r="U83" s="71"/>
      <c r="V83" s="63"/>
      <c r="W83" s="63"/>
      <c r="X83" s="63"/>
      <c r="Y83" s="63"/>
      <c r="Z83" s="63"/>
      <c r="AA83" s="63"/>
      <c r="AB83" s="63"/>
      <c r="AC83" s="63"/>
      <c r="AD83" s="63"/>
      <c r="AE83" s="63"/>
      <c r="AF83" s="63"/>
      <c r="AG83" s="63"/>
      <c r="AH83" s="63"/>
      <c r="AI83" s="63"/>
      <c r="AJ83" s="63"/>
      <c r="AK83" s="63"/>
      <c r="AL83" s="63"/>
      <c r="AM83" s="63"/>
      <c r="AN83" s="74" t="str">
        <f t="shared" si="33"/>
        <v>0xB0</v>
      </c>
    </row>
    <row r="84" hidden="1">
      <c r="A84" s="33" t="str">
        <f t="shared" si="2"/>
        <v>E909</v>
      </c>
      <c r="B84" s="34" t="str">
        <f>IFERROR(__xludf.DUMMYFUNCTION("REGEXREPLACE($H84, ""(?i)^8301(E000|E100|E200|E300)?"", """")"),"E90900110FA4B5B2B5B2B0")</f>
        <v>E90900110FA4B5B2B5B2B0</v>
      </c>
      <c r="C84" s="36" t="s">
        <v>198</v>
      </c>
      <c r="D84" s="36" t="s">
        <v>489</v>
      </c>
      <c r="E84" s="36" t="s">
        <v>129</v>
      </c>
      <c r="F84" s="36" t="s">
        <v>137</v>
      </c>
      <c r="G84" s="37">
        <v>46207.0</v>
      </c>
      <c r="H84" s="44" t="s">
        <v>205</v>
      </c>
      <c r="I84" s="35"/>
      <c r="J84" s="39" t="str">
        <f t="shared" si="3"/>
        <v>0x09</v>
      </c>
      <c r="K84" s="40" t="str">
        <f t="shared" si="4"/>
        <v>0x00</v>
      </c>
      <c r="L84" s="40" t="str">
        <f t="shared" si="5"/>
        <v>0x11</v>
      </c>
      <c r="M84" s="42">
        <v>5.0</v>
      </c>
      <c r="N84" s="42" t="str">
        <f t="shared" si="27"/>
        <v>0x0F</v>
      </c>
      <c r="O84" s="48" t="str">
        <f t="shared" si="28"/>
        <v>0xA4</v>
      </c>
      <c r="P84" s="48" t="str">
        <f t="shared" si="29"/>
        <v>0xB5</v>
      </c>
      <c r="Q84" s="48" t="str">
        <f t="shared" si="30"/>
        <v>0xB2</v>
      </c>
      <c r="R84" s="42"/>
      <c r="S84" s="48" t="str">
        <f t="shared" si="31"/>
        <v>0xB5</v>
      </c>
      <c r="T84" s="48" t="str">
        <f t="shared" si="32"/>
        <v>0xB2</v>
      </c>
      <c r="U84" s="48"/>
      <c r="V84" s="49"/>
      <c r="W84" s="49"/>
      <c r="X84" s="49"/>
      <c r="Y84" s="49"/>
      <c r="Z84" s="49"/>
      <c r="AA84" s="49"/>
      <c r="AB84" s="49"/>
      <c r="AC84" s="49"/>
      <c r="AD84" s="49"/>
      <c r="AE84" s="49"/>
      <c r="AF84" s="49"/>
      <c r="AG84" s="49"/>
      <c r="AH84" s="49"/>
      <c r="AI84" s="49"/>
      <c r="AJ84" s="49"/>
      <c r="AK84" s="49"/>
      <c r="AL84" s="49"/>
      <c r="AM84" s="49"/>
      <c r="AN84" s="64" t="str">
        <f t="shared" si="33"/>
        <v>0xB0</v>
      </c>
    </row>
    <row r="85" hidden="1">
      <c r="A85" s="51" t="str">
        <f t="shared" si="2"/>
        <v>E909</v>
      </c>
      <c r="B85" s="52" t="str">
        <f>IFERROR(__xludf.DUMMYFUNCTION("REGEXREPLACE($H85, ""(?i)^8301(E000|E100|E200|E300)?"", """")"),"E90900110FADADADBCBCB1")</f>
        <v>E90900110FADADADBCBCB1</v>
      </c>
      <c r="C85" s="65" t="s">
        <v>198</v>
      </c>
      <c r="D85" s="65" t="s">
        <v>489</v>
      </c>
      <c r="E85" s="65" t="s">
        <v>106</v>
      </c>
      <c r="F85" s="65" t="s">
        <v>107</v>
      </c>
      <c r="G85" s="67">
        <v>46220.0</v>
      </c>
      <c r="H85" s="68" t="s">
        <v>206</v>
      </c>
      <c r="I85" s="53"/>
      <c r="J85" s="57" t="str">
        <f t="shared" si="3"/>
        <v>0x09</v>
      </c>
      <c r="K85" s="58" t="str">
        <f t="shared" si="4"/>
        <v>0x00</v>
      </c>
      <c r="L85" s="58" t="str">
        <f t="shared" si="5"/>
        <v>0x11</v>
      </c>
      <c r="M85" s="59">
        <v>5.0</v>
      </c>
      <c r="N85" s="59" t="str">
        <f t="shared" si="27"/>
        <v>0x0F</v>
      </c>
      <c r="O85" s="71" t="str">
        <f t="shared" si="28"/>
        <v>0xAD</v>
      </c>
      <c r="P85" s="71" t="str">
        <f t="shared" si="29"/>
        <v>0xAD</v>
      </c>
      <c r="Q85" s="71" t="str">
        <f t="shared" si="30"/>
        <v>0xAD</v>
      </c>
      <c r="R85" s="59"/>
      <c r="S85" s="71" t="str">
        <f t="shared" si="31"/>
        <v>0xBC</v>
      </c>
      <c r="T85" s="71" t="str">
        <f t="shared" si="32"/>
        <v>0xBC</v>
      </c>
      <c r="U85" s="71"/>
      <c r="V85" s="63"/>
      <c r="W85" s="63"/>
      <c r="X85" s="63"/>
      <c r="Y85" s="63"/>
      <c r="Z85" s="63"/>
      <c r="AA85" s="63"/>
      <c r="AB85" s="63"/>
      <c r="AC85" s="63"/>
      <c r="AD85" s="63"/>
      <c r="AE85" s="63"/>
      <c r="AF85" s="63"/>
      <c r="AG85" s="63"/>
      <c r="AH85" s="63"/>
      <c r="AI85" s="63"/>
      <c r="AJ85" s="63"/>
      <c r="AK85" s="63"/>
      <c r="AL85" s="63"/>
      <c r="AM85" s="63"/>
      <c r="AN85" s="74" t="str">
        <f t="shared" si="33"/>
        <v>0xB1</v>
      </c>
    </row>
    <row r="86" hidden="1">
      <c r="A86" s="33" t="str">
        <f t="shared" si="2"/>
        <v>E909</v>
      </c>
      <c r="B86" s="34" t="str">
        <f>IFERROR(__xludf.DUMMYFUNCTION("REGEXREPLACE($H86, ""(?i)^8301(E000|E100|E200|E300)?"", """")"),"E90900110FB3B4B5B5B4B0")</f>
        <v>E90900110FB3B4B5B5B4B0</v>
      </c>
      <c r="C86" s="36" t="s">
        <v>198</v>
      </c>
      <c r="D86" s="36" t="s">
        <v>489</v>
      </c>
      <c r="E86" s="36" t="s">
        <v>75</v>
      </c>
      <c r="F86" s="36" t="s">
        <v>120</v>
      </c>
      <c r="G86" s="37">
        <v>46228.0</v>
      </c>
      <c r="H86" s="38" t="s">
        <v>207</v>
      </c>
      <c r="I86" s="35"/>
      <c r="J86" s="39" t="str">
        <f t="shared" si="3"/>
        <v>0x09</v>
      </c>
      <c r="K86" s="40" t="str">
        <f t="shared" si="4"/>
        <v>0x00</v>
      </c>
      <c r="L86" s="40" t="str">
        <f t="shared" si="5"/>
        <v>0x11</v>
      </c>
      <c r="M86" s="42">
        <v>5.0</v>
      </c>
      <c r="N86" s="42" t="str">
        <f t="shared" si="27"/>
        <v>0x0F</v>
      </c>
      <c r="O86" s="48" t="str">
        <f t="shared" si="28"/>
        <v>0xB3</v>
      </c>
      <c r="P86" s="48" t="str">
        <f t="shared" si="29"/>
        <v>0xB4</v>
      </c>
      <c r="Q86" s="48" t="str">
        <f t="shared" si="30"/>
        <v>0xB5</v>
      </c>
      <c r="R86" s="42"/>
      <c r="S86" s="48" t="str">
        <f t="shared" si="31"/>
        <v>0xB5</v>
      </c>
      <c r="T86" s="48" t="str">
        <f t="shared" si="32"/>
        <v>0xB4</v>
      </c>
      <c r="U86" s="48"/>
      <c r="V86" s="49"/>
      <c r="W86" s="49"/>
      <c r="X86" s="49"/>
      <c r="Y86" s="49"/>
      <c r="Z86" s="49"/>
      <c r="AA86" s="49"/>
      <c r="AB86" s="49"/>
      <c r="AC86" s="49"/>
      <c r="AD86" s="49"/>
      <c r="AE86" s="49"/>
      <c r="AF86" s="49"/>
      <c r="AG86" s="49"/>
      <c r="AH86" s="49"/>
      <c r="AI86" s="49"/>
      <c r="AJ86" s="49"/>
      <c r="AK86" s="49"/>
      <c r="AL86" s="49"/>
      <c r="AM86" s="49"/>
      <c r="AN86" s="64" t="str">
        <f t="shared" si="33"/>
        <v>0xB0</v>
      </c>
    </row>
    <row r="87">
      <c r="A87" s="51" t="str">
        <f t="shared" si="2"/>
        <v>E909</v>
      </c>
      <c r="B87" s="52" t="str">
        <f>IFERROR(__xludf.DUMMYFUNCTION("REGEXREPLACE($H87, ""(?i)^8301(E000|E100|E200|E300)?"", """")"),"E90900120FBDA2A2AEAEB0")</f>
        <v>E90900120FBDA2A2AEAEB0</v>
      </c>
      <c r="C87" s="65" t="s">
        <v>198</v>
      </c>
      <c r="D87" s="65" t="s">
        <v>489</v>
      </c>
      <c r="E87" s="65" t="s">
        <v>217</v>
      </c>
      <c r="F87" s="65" t="s">
        <v>218</v>
      </c>
      <c r="G87" s="67">
        <v>46244.0</v>
      </c>
      <c r="H87" s="68" t="s">
        <v>459</v>
      </c>
      <c r="I87" s="65"/>
      <c r="J87" s="57" t="str">
        <f t="shared" si="3"/>
        <v>0x09</v>
      </c>
      <c r="K87" s="58" t="str">
        <f t="shared" si="4"/>
        <v>0x00</v>
      </c>
      <c r="L87" s="58" t="str">
        <f t="shared" si="5"/>
        <v>0x12</v>
      </c>
      <c r="M87" s="59">
        <v>5.0</v>
      </c>
      <c r="N87" s="59" t="str">
        <f t="shared" si="27"/>
        <v>0x0F</v>
      </c>
      <c r="O87" s="71" t="str">
        <f t="shared" si="28"/>
        <v>0xBD</v>
      </c>
      <c r="P87" s="71" t="str">
        <f t="shared" si="29"/>
        <v>0xA2</v>
      </c>
      <c r="Q87" s="71" t="str">
        <f t="shared" si="30"/>
        <v>0xA2</v>
      </c>
      <c r="R87" s="59"/>
      <c r="S87" s="71" t="str">
        <f t="shared" si="31"/>
        <v>0xAE</v>
      </c>
      <c r="T87" s="71" t="str">
        <f t="shared" si="32"/>
        <v>0xAE</v>
      </c>
      <c r="U87" s="71"/>
      <c r="V87" s="63"/>
      <c r="W87" s="63"/>
      <c r="X87" s="63"/>
      <c r="Y87" s="63"/>
      <c r="Z87" s="63"/>
      <c r="AA87" s="63"/>
      <c r="AB87" s="63"/>
      <c r="AC87" s="63"/>
      <c r="AD87" s="63"/>
      <c r="AE87" s="63"/>
      <c r="AF87" s="63"/>
      <c r="AG87" s="63"/>
      <c r="AH87" s="63"/>
      <c r="AI87" s="63"/>
      <c r="AJ87" s="63"/>
      <c r="AK87" s="63"/>
      <c r="AL87" s="63"/>
      <c r="AM87" s="63"/>
      <c r="AN87" s="74" t="str">
        <f t="shared" si="33"/>
        <v>0xB0</v>
      </c>
    </row>
    <row r="88">
      <c r="A88" s="33" t="str">
        <f t="shared" si="2"/>
        <v>E909</v>
      </c>
      <c r="B88" s="34" t="str">
        <f>IFERROR(__xludf.DUMMYFUNCTION("REGEXREPLACE($H88, ""(?i)^8301(E000|E100|E200|E300)?"", """")"),"E90900120FBDA2A2AEAEB5")</f>
        <v>E90900120FBDA2A2AEAEB5</v>
      </c>
      <c r="C88" s="36" t="s">
        <v>198</v>
      </c>
      <c r="D88" s="36" t="s">
        <v>489</v>
      </c>
      <c r="E88" s="36" t="s">
        <v>217</v>
      </c>
      <c r="F88" s="36" t="s">
        <v>218</v>
      </c>
      <c r="G88" s="37">
        <v>46244.0</v>
      </c>
      <c r="H88" s="38" t="s">
        <v>460</v>
      </c>
      <c r="I88" s="36"/>
      <c r="J88" s="39" t="str">
        <f t="shared" si="3"/>
        <v>0x09</v>
      </c>
      <c r="K88" s="40" t="str">
        <f t="shared" si="4"/>
        <v>0x00</v>
      </c>
      <c r="L88" s="40" t="str">
        <f t="shared" si="5"/>
        <v>0x12</v>
      </c>
      <c r="M88" s="42">
        <v>5.0</v>
      </c>
      <c r="N88" s="42" t="str">
        <f t="shared" si="27"/>
        <v>0x0F</v>
      </c>
      <c r="O88" s="48" t="str">
        <f t="shared" si="28"/>
        <v>0xBD</v>
      </c>
      <c r="P88" s="48" t="str">
        <f t="shared" si="29"/>
        <v>0xA2</v>
      </c>
      <c r="Q88" s="48" t="str">
        <f t="shared" si="30"/>
        <v>0xA2</v>
      </c>
      <c r="R88" s="42"/>
      <c r="S88" s="48" t="str">
        <f t="shared" si="31"/>
        <v>0xAE</v>
      </c>
      <c r="T88" s="48" t="str">
        <f t="shared" si="32"/>
        <v>0xAE</v>
      </c>
      <c r="U88" s="48"/>
      <c r="V88" s="49"/>
      <c r="W88" s="49"/>
      <c r="X88" s="49"/>
      <c r="Y88" s="49"/>
      <c r="Z88" s="49"/>
      <c r="AA88" s="49"/>
      <c r="AB88" s="49"/>
      <c r="AC88" s="49"/>
      <c r="AD88" s="49"/>
      <c r="AE88" s="49"/>
      <c r="AF88" s="49"/>
      <c r="AG88" s="49"/>
      <c r="AH88" s="49"/>
      <c r="AI88" s="49"/>
      <c r="AJ88" s="49"/>
      <c r="AK88" s="49"/>
      <c r="AL88" s="49"/>
      <c r="AM88" s="49"/>
      <c r="AN88" s="64" t="str">
        <f t="shared" si="33"/>
        <v>0xB5</v>
      </c>
    </row>
    <row r="89" hidden="1">
      <c r="A89" s="51" t="str">
        <f t="shared" si="2"/>
        <v>E909</v>
      </c>
      <c r="B89" s="52" t="str">
        <f>IFERROR(__xludf.DUMMYFUNCTION("REGEXREPLACE($H89, ""(?i)^8301(E000|E100|E200|E300)?"", """")"),"E90900130FBBB5A4A4B5B0")</f>
        <v>E90900130FBBB5A4A4B5B0</v>
      </c>
      <c r="C89" s="65" t="s">
        <v>198</v>
      </c>
      <c r="D89" s="65" t="s">
        <v>489</v>
      </c>
      <c r="E89" s="65" t="s">
        <v>75</v>
      </c>
      <c r="F89" s="65" t="s">
        <v>143</v>
      </c>
      <c r="G89" s="67">
        <v>46208.0</v>
      </c>
      <c r="H89" s="68" t="s">
        <v>208</v>
      </c>
      <c r="I89" s="53"/>
      <c r="J89" s="57" t="str">
        <f t="shared" si="3"/>
        <v>0x09</v>
      </c>
      <c r="K89" s="58" t="str">
        <f t="shared" si="4"/>
        <v>0x00</v>
      </c>
      <c r="L89" s="58" t="str">
        <f t="shared" si="5"/>
        <v>0x13</v>
      </c>
      <c r="M89" s="59">
        <v>5.0</v>
      </c>
      <c r="N89" s="59" t="str">
        <f t="shared" si="27"/>
        <v>0x0F</v>
      </c>
      <c r="O89" s="71" t="str">
        <f t="shared" si="28"/>
        <v>0xBB</v>
      </c>
      <c r="P89" s="71" t="str">
        <f t="shared" si="29"/>
        <v>0xB5</v>
      </c>
      <c r="Q89" s="71" t="str">
        <f t="shared" si="30"/>
        <v>0xA4</v>
      </c>
      <c r="R89" s="59"/>
      <c r="S89" s="71" t="str">
        <f t="shared" si="31"/>
        <v>0xA4</v>
      </c>
      <c r="T89" s="71" t="str">
        <f t="shared" si="32"/>
        <v>0xB5</v>
      </c>
      <c r="U89" s="71"/>
      <c r="V89" s="63"/>
      <c r="W89" s="63"/>
      <c r="X89" s="63"/>
      <c r="Y89" s="63"/>
      <c r="Z89" s="63"/>
      <c r="AA89" s="63"/>
      <c r="AB89" s="63"/>
      <c r="AC89" s="63"/>
      <c r="AD89" s="63"/>
      <c r="AE89" s="63"/>
      <c r="AF89" s="63"/>
      <c r="AG89" s="63"/>
      <c r="AH89" s="63"/>
      <c r="AI89" s="63"/>
      <c r="AJ89" s="63"/>
      <c r="AK89" s="63"/>
      <c r="AL89" s="63"/>
      <c r="AM89" s="63"/>
      <c r="AN89" s="74" t="str">
        <f t="shared" si="33"/>
        <v>0xB0</v>
      </c>
    </row>
    <row r="90" hidden="1">
      <c r="A90" s="33" t="str">
        <f t="shared" si="2"/>
        <v>E909</v>
      </c>
      <c r="B90" s="34" t="str">
        <f>IFERROR(__xludf.DUMMYFUNCTION("REGEXREPLACE($H90, ""(?i)^8301(E000|E100|E200|E300)?"", """")"),"E909001F0FA4A8B6B6A8B0")</f>
        <v>E909001F0FA4A8B6B6A8B0</v>
      </c>
      <c r="C90" s="36" t="s">
        <v>198</v>
      </c>
      <c r="D90" s="36" t="s">
        <v>489</v>
      </c>
      <c r="E90" s="36" t="s">
        <v>75</v>
      </c>
      <c r="F90" s="36" t="s">
        <v>76</v>
      </c>
      <c r="G90" s="37">
        <v>46219.0</v>
      </c>
      <c r="H90" s="38" t="s">
        <v>209</v>
      </c>
      <c r="I90" s="35"/>
      <c r="J90" s="39" t="str">
        <f t="shared" si="3"/>
        <v>0x09</v>
      </c>
      <c r="K90" s="40" t="str">
        <f t="shared" si="4"/>
        <v>0x00</v>
      </c>
      <c r="L90" s="40" t="str">
        <f t="shared" si="5"/>
        <v>0x1F</v>
      </c>
      <c r="M90" s="42">
        <v>5.0</v>
      </c>
      <c r="N90" s="42" t="str">
        <f t="shared" si="27"/>
        <v>0x0F</v>
      </c>
      <c r="O90" s="48" t="str">
        <f t="shared" si="28"/>
        <v>0xA4</v>
      </c>
      <c r="P90" s="48" t="str">
        <f t="shared" si="29"/>
        <v>0xA8</v>
      </c>
      <c r="Q90" s="48" t="str">
        <f t="shared" si="30"/>
        <v>0xB6</v>
      </c>
      <c r="R90" s="42"/>
      <c r="S90" s="48" t="str">
        <f t="shared" si="31"/>
        <v>0xB6</v>
      </c>
      <c r="T90" s="48" t="str">
        <f t="shared" si="32"/>
        <v>0xA8</v>
      </c>
      <c r="U90" s="48"/>
      <c r="V90" s="49"/>
      <c r="W90" s="49"/>
      <c r="X90" s="49"/>
      <c r="Y90" s="49"/>
      <c r="Z90" s="49"/>
      <c r="AA90" s="49"/>
      <c r="AB90" s="49"/>
      <c r="AC90" s="49"/>
      <c r="AD90" s="49"/>
      <c r="AE90" s="49"/>
      <c r="AF90" s="49"/>
      <c r="AG90" s="49"/>
      <c r="AH90" s="49"/>
      <c r="AI90" s="49"/>
      <c r="AJ90" s="49"/>
      <c r="AK90" s="49"/>
      <c r="AL90" s="49"/>
      <c r="AM90" s="49"/>
      <c r="AN90" s="64" t="str">
        <f t="shared" si="33"/>
        <v>0xB0</v>
      </c>
    </row>
    <row r="91" hidden="1">
      <c r="A91" s="51" t="str">
        <f t="shared" si="2"/>
        <v>E909</v>
      </c>
      <c r="B91" s="52" t="str">
        <f>IFERROR(__xludf.DUMMYFUNCTION("REGEXREPLACE($H91, ""(?i)^8301(E000|E100|E200|E300)?"", """")"),"E909001F0FBBA1A4A4A1B0")</f>
        <v>E909001F0FBBA1A4A4A1B0</v>
      </c>
      <c r="C91" s="65" t="s">
        <v>198</v>
      </c>
      <c r="D91" s="65" t="s">
        <v>489</v>
      </c>
      <c r="E91" s="65" t="s">
        <v>75</v>
      </c>
      <c r="F91" s="65" t="s">
        <v>76</v>
      </c>
      <c r="G91" s="67">
        <v>46228.0</v>
      </c>
      <c r="H91" s="68" t="s">
        <v>210</v>
      </c>
      <c r="I91" s="53"/>
      <c r="J91" s="57" t="str">
        <f t="shared" si="3"/>
        <v>0x09</v>
      </c>
      <c r="K91" s="58" t="str">
        <f t="shared" si="4"/>
        <v>0x00</v>
      </c>
      <c r="L91" s="58" t="str">
        <f t="shared" si="5"/>
        <v>0x1F</v>
      </c>
      <c r="M91" s="59">
        <v>5.0</v>
      </c>
      <c r="N91" s="59" t="str">
        <f t="shared" si="27"/>
        <v>0x0F</v>
      </c>
      <c r="O91" s="71" t="str">
        <f t="shared" si="28"/>
        <v>0xBB</v>
      </c>
      <c r="P91" s="71" t="str">
        <f t="shared" si="29"/>
        <v>0xA1</v>
      </c>
      <c r="Q91" s="71" t="str">
        <f t="shared" si="30"/>
        <v>0xA4</v>
      </c>
      <c r="R91" s="59"/>
      <c r="S91" s="71" t="str">
        <f t="shared" si="31"/>
        <v>0xA4</v>
      </c>
      <c r="T91" s="71" t="str">
        <f t="shared" si="32"/>
        <v>0xA1</v>
      </c>
      <c r="U91" s="71"/>
      <c r="V91" s="63"/>
      <c r="W91" s="63"/>
      <c r="X91" s="63"/>
      <c r="Y91" s="63"/>
      <c r="Z91" s="63"/>
      <c r="AA91" s="63"/>
      <c r="AB91" s="63"/>
      <c r="AC91" s="63"/>
      <c r="AD91" s="63"/>
      <c r="AE91" s="63"/>
      <c r="AF91" s="63"/>
      <c r="AG91" s="63"/>
      <c r="AH91" s="63"/>
      <c r="AI91" s="63"/>
      <c r="AJ91" s="63"/>
      <c r="AK91" s="63"/>
      <c r="AL91" s="63"/>
      <c r="AM91" s="63"/>
      <c r="AN91" s="74" t="str">
        <f t="shared" si="33"/>
        <v>0xB0</v>
      </c>
    </row>
    <row r="92" hidden="1">
      <c r="A92" s="33" t="str">
        <f t="shared" si="2"/>
        <v>E909</v>
      </c>
      <c r="B92" s="34" t="str">
        <f>IFERROR(__xludf.DUMMYFUNCTION("REGEXREPLACE($H92, ""(?i)^8301(E000|E100|E200|E300)?"", """")"),"E909001F0FBBB1A7A7B1B0")</f>
        <v>E909001F0FBBB1A7A7B1B0</v>
      </c>
      <c r="C92" s="36" t="s">
        <v>198</v>
      </c>
      <c r="D92" s="36" t="s">
        <v>489</v>
      </c>
      <c r="E92" s="36" t="s">
        <v>75</v>
      </c>
      <c r="F92" s="36" t="s">
        <v>76</v>
      </c>
      <c r="G92" s="37">
        <v>46219.0</v>
      </c>
      <c r="H92" s="38" t="s">
        <v>211</v>
      </c>
      <c r="I92" s="35"/>
      <c r="J92" s="39" t="str">
        <f t="shared" si="3"/>
        <v>0x09</v>
      </c>
      <c r="K92" s="40" t="str">
        <f t="shared" si="4"/>
        <v>0x00</v>
      </c>
      <c r="L92" s="40" t="str">
        <f t="shared" si="5"/>
        <v>0x1F</v>
      </c>
      <c r="M92" s="42">
        <v>5.0</v>
      </c>
      <c r="N92" s="42" t="str">
        <f t="shared" si="27"/>
        <v>0x0F</v>
      </c>
      <c r="O92" s="48" t="str">
        <f t="shared" si="28"/>
        <v>0xBB</v>
      </c>
      <c r="P92" s="48" t="str">
        <f t="shared" si="29"/>
        <v>0xB1</v>
      </c>
      <c r="Q92" s="48" t="str">
        <f t="shared" si="30"/>
        <v>0xA7</v>
      </c>
      <c r="R92" s="42"/>
      <c r="S92" s="48" t="str">
        <f t="shared" si="31"/>
        <v>0xA7</v>
      </c>
      <c r="T92" s="48" t="str">
        <f t="shared" si="32"/>
        <v>0xB1</v>
      </c>
      <c r="U92" s="48"/>
      <c r="V92" s="49"/>
      <c r="W92" s="49"/>
      <c r="X92" s="49"/>
      <c r="Y92" s="49"/>
      <c r="Z92" s="49"/>
      <c r="AA92" s="49"/>
      <c r="AB92" s="49"/>
      <c r="AC92" s="49"/>
      <c r="AD92" s="49"/>
      <c r="AE92" s="49"/>
      <c r="AF92" s="49"/>
      <c r="AG92" s="49"/>
      <c r="AH92" s="49"/>
      <c r="AI92" s="49"/>
      <c r="AJ92" s="49"/>
      <c r="AK92" s="49"/>
      <c r="AL92" s="49"/>
      <c r="AM92" s="49"/>
      <c r="AN92" s="64" t="str">
        <f t="shared" si="33"/>
        <v>0xB0</v>
      </c>
    </row>
    <row r="93" hidden="1">
      <c r="A93" s="51" t="str">
        <f t="shared" si="2"/>
        <v>E909</v>
      </c>
      <c r="B93" s="52" t="str">
        <f>IFERROR(__xludf.DUMMYFUNCTION("REGEXREPLACE($H93, ""(?i)^8301(E000|E100|E200|E300)?"", """")"),"E909001F0FBBBBBBBBBBB0")</f>
        <v>E909001F0FBBBBBBBBBBB0</v>
      </c>
      <c r="C93" s="65" t="s">
        <v>198</v>
      </c>
      <c r="D93" s="65" t="s">
        <v>489</v>
      </c>
      <c r="E93" s="65" t="s">
        <v>75</v>
      </c>
      <c r="F93" s="65" t="s">
        <v>76</v>
      </c>
      <c r="G93" s="67">
        <v>46219.0</v>
      </c>
      <c r="H93" s="68" t="s">
        <v>212</v>
      </c>
      <c r="I93" s="53"/>
      <c r="J93" s="57" t="str">
        <f t="shared" si="3"/>
        <v>0x09</v>
      </c>
      <c r="K93" s="58" t="str">
        <f t="shared" si="4"/>
        <v>0x00</v>
      </c>
      <c r="L93" s="58" t="str">
        <f t="shared" si="5"/>
        <v>0x1F</v>
      </c>
      <c r="M93" s="59">
        <v>5.0</v>
      </c>
      <c r="N93" s="59" t="str">
        <f t="shared" si="27"/>
        <v>0x0F</v>
      </c>
      <c r="O93" s="71" t="str">
        <f t="shared" si="28"/>
        <v>0xBB</v>
      </c>
      <c r="P93" s="71" t="str">
        <f t="shared" si="29"/>
        <v>0xBB</v>
      </c>
      <c r="Q93" s="71" t="str">
        <f t="shared" si="30"/>
        <v>0xBB</v>
      </c>
      <c r="R93" s="59"/>
      <c r="S93" s="71" t="str">
        <f t="shared" si="31"/>
        <v>0xBB</v>
      </c>
      <c r="T93" s="71" t="str">
        <f t="shared" si="32"/>
        <v>0xBB</v>
      </c>
      <c r="U93" s="71"/>
      <c r="V93" s="63"/>
      <c r="W93" s="63"/>
      <c r="X93" s="63"/>
      <c r="Y93" s="63"/>
      <c r="Z93" s="63"/>
      <c r="AA93" s="63"/>
      <c r="AB93" s="63"/>
      <c r="AC93" s="63"/>
      <c r="AD93" s="63"/>
      <c r="AE93" s="63"/>
      <c r="AF93" s="63"/>
      <c r="AG93" s="63"/>
      <c r="AH93" s="63"/>
      <c r="AI93" s="63"/>
      <c r="AJ93" s="63"/>
      <c r="AK93" s="63"/>
      <c r="AL93" s="63"/>
      <c r="AM93" s="63"/>
      <c r="AN93" s="74" t="str">
        <f t="shared" si="33"/>
        <v>0xB0</v>
      </c>
    </row>
    <row r="94" hidden="1">
      <c r="A94" s="33" t="str">
        <f t="shared" si="2"/>
        <v>E909</v>
      </c>
      <c r="B94" s="34" t="str">
        <f>IFERROR(__xludf.DUMMYFUNCTION("REGEXREPLACE($H94, ""(?i)^8301(E000|E100|E200|E300)?"", """")"),"E909001F0FBCAFB5B5AFB0")</f>
        <v>E909001F0FBCAFB5B5AFB0</v>
      </c>
      <c r="C94" s="36" t="s">
        <v>198</v>
      </c>
      <c r="D94" s="36" t="s">
        <v>489</v>
      </c>
      <c r="E94" s="36" t="s">
        <v>75</v>
      </c>
      <c r="F94" s="36" t="s">
        <v>76</v>
      </c>
      <c r="G94" s="37">
        <v>46219.0</v>
      </c>
      <c r="H94" s="38" t="s">
        <v>213</v>
      </c>
      <c r="I94" s="35"/>
      <c r="J94" s="39" t="str">
        <f t="shared" si="3"/>
        <v>0x09</v>
      </c>
      <c r="K94" s="40" t="str">
        <f t="shared" si="4"/>
        <v>0x00</v>
      </c>
      <c r="L94" s="40" t="str">
        <f t="shared" si="5"/>
        <v>0x1F</v>
      </c>
      <c r="M94" s="42">
        <v>5.0</v>
      </c>
      <c r="N94" s="42" t="str">
        <f t="shared" si="27"/>
        <v>0x0F</v>
      </c>
      <c r="O94" s="48" t="str">
        <f t="shared" si="28"/>
        <v>0xBC</v>
      </c>
      <c r="P94" s="48" t="str">
        <f t="shared" si="29"/>
        <v>0xAF</v>
      </c>
      <c r="Q94" s="48" t="str">
        <f t="shared" si="30"/>
        <v>0xB5</v>
      </c>
      <c r="R94" s="42"/>
      <c r="S94" s="48" t="str">
        <f t="shared" si="31"/>
        <v>0xB5</v>
      </c>
      <c r="T94" s="48" t="str">
        <f t="shared" si="32"/>
        <v>0xAF</v>
      </c>
      <c r="U94" s="48"/>
      <c r="V94" s="49"/>
      <c r="W94" s="49"/>
      <c r="X94" s="49"/>
      <c r="Y94" s="49"/>
      <c r="Z94" s="49"/>
      <c r="AA94" s="49"/>
      <c r="AB94" s="49"/>
      <c r="AC94" s="49"/>
      <c r="AD94" s="49"/>
      <c r="AE94" s="49"/>
      <c r="AF94" s="49"/>
      <c r="AG94" s="49"/>
      <c r="AH94" s="49"/>
      <c r="AI94" s="49"/>
      <c r="AJ94" s="49"/>
      <c r="AK94" s="49"/>
      <c r="AL94" s="49"/>
      <c r="AM94" s="49"/>
      <c r="AN94" s="64" t="str">
        <f t="shared" si="33"/>
        <v>0xB0</v>
      </c>
    </row>
    <row r="95" hidden="1">
      <c r="A95" s="51" t="str">
        <f t="shared" si="2"/>
        <v>E909</v>
      </c>
      <c r="B95" s="52" t="str">
        <f>IFERROR(__xludf.DUMMYFUNCTION("REGEXREPLACE($H95, ""(?i)^8301(E000|E100|E200|E300)?"", """")"),"E90900210FA4AFAFAFAFB0")</f>
        <v>E90900210FA4AFAFAFAFB0</v>
      </c>
      <c r="C95" s="65" t="s">
        <v>198</v>
      </c>
      <c r="D95" s="65" t="s">
        <v>489</v>
      </c>
      <c r="E95" s="65" t="s">
        <v>75</v>
      </c>
      <c r="F95" s="65" t="s">
        <v>120</v>
      </c>
      <c r="G95" s="67">
        <v>46219.0</v>
      </c>
      <c r="H95" s="68" t="s">
        <v>214</v>
      </c>
      <c r="I95" s="53"/>
      <c r="J95" s="57" t="str">
        <f t="shared" si="3"/>
        <v>0x09</v>
      </c>
      <c r="K95" s="58" t="str">
        <f t="shared" si="4"/>
        <v>0x00</v>
      </c>
      <c r="L95" s="58" t="str">
        <f t="shared" si="5"/>
        <v>0x21</v>
      </c>
      <c r="M95" s="59">
        <v>5.0</v>
      </c>
      <c r="N95" s="59" t="str">
        <f t="shared" si="27"/>
        <v>0x0F</v>
      </c>
      <c r="O95" s="71" t="str">
        <f t="shared" si="28"/>
        <v>0xA4</v>
      </c>
      <c r="P95" s="71" t="str">
        <f t="shared" si="29"/>
        <v>0xAF</v>
      </c>
      <c r="Q95" s="71" t="str">
        <f t="shared" si="30"/>
        <v>0xAF</v>
      </c>
      <c r="R95" s="59"/>
      <c r="S95" s="71" t="str">
        <f t="shared" si="31"/>
        <v>0xAF</v>
      </c>
      <c r="T95" s="71" t="str">
        <f t="shared" si="32"/>
        <v>0xAF</v>
      </c>
      <c r="U95" s="71"/>
      <c r="V95" s="63"/>
      <c r="W95" s="63"/>
      <c r="X95" s="63"/>
      <c r="Y95" s="63"/>
      <c r="Z95" s="63"/>
      <c r="AA95" s="63"/>
      <c r="AB95" s="63"/>
      <c r="AC95" s="63"/>
      <c r="AD95" s="63"/>
      <c r="AE95" s="63"/>
      <c r="AF95" s="63"/>
      <c r="AG95" s="63"/>
      <c r="AH95" s="63"/>
      <c r="AI95" s="63"/>
      <c r="AJ95" s="63"/>
      <c r="AK95" s="63"/>
      <c r="AL95" s="63"/>
      <c r="AM95" s="63"/>
      <c r="AN95" s="74" t="str">
        <f t="shared" si="33"/>
        <v>0xB0</v>
      </c>
    </row>
    <row r="96" hidden="1">
      <c r="A96" s="33" t="str">
        <f t="shared" si="2"/>
        <v>E909</v>
      </c>
      <c r="B96" s="34" t="str">
        <f>IFERROR(__xludf.DUMMYFUNCTION("REGEXREPLACE($H96, ""(?i)^8301(E000|E100|E200|E300)?"", """")"),"E90900210FAFA1A4A1A4B0")</f>
        <v>E90900210FAFA1A4A1A4B0</v>
      </c>
      <c r="C96" s="36" t="s">
        <v>198</v>
      </c>
      <c r="D96" s="36" t="s">
        <v>489</v>
      </c>
      <c r="E96" s="36" t="s">
        <v>75</v>
      </c>
      <c r="F96" s="36" t="s">
        <v>120</v>
      </c>
      <c r="G96" s="37">
        <v>46219.0</v>
      </c>
      <c r="H96" s="38" t="s">
        <v>215</v>
      </c>
      <c r="I96" s="35"/>
      <c r="J96" s="39" t="str">
        <f t="shared" si="3"/>
        <v>0x09</v>
      </c>
      <c r="K96" s="40" t="str">
        <f t="shared" si="4"/>
        <v>0x00</v>
      </c>
      <c r="L96" s="40" t="str">
        <f t="shared" si="5"/>
        <v>0x21</v>
      </c>
      <c r="M96" s="42">
        <v>5.0</v>
      </c>
      <c r="N96" s="42" t="str">
        <f t="shared" si="27"/>
        <v>0x0F</v>
      </c>
      <c r="O96" s="48" t="str">
        <f t="shared" si="28"/>
        <v>0xAF</v>
      </c>
      <c r="P96" s="48" t="str">
        <f t="shared" si="29"/>
        <v>0xA1</v>
      </c>
      <c r="Q96" s="48" t="str">
        <f t="shared" si="30"/>
        <v>0xA4</v>
      </c>
      <c r="R96" s="42"/>
      <c r="S96" s="48" t="str">
        <f t="shared" si="31"/>
        <v>0xA1</v>
      </c>
      <c r="T96" s="48" t="str">
        <f t="shared" si="32"/>
        <v>0xA4</v>
      </c>
      <c r="U96" s="48"/>
      <c r="V96" s="49"/>
      <c r="W96" s="49"/>
      <c r="X96" s="49"/>
      <c r="Y96" s="49"/>
      <c r="Z96" s="49"/>
      <c r="AA96" s="49"/>
      <c r="AB96" s="49"/>
      <c r="AC96" s="49"/>
      <c r="AD96" s="49"/>
      <c r="AE96" s="49"/>
      <c r="AF96" s="49"/>
      <c r="AG96" s="49"/>
      <c r="AH96" s="49"/>
      <c r="AI96" s="49"/>
      <c r="AJ96" s="49"/>
      <c r="AK96" s="49"/>
      <c r="AL96" s="49"/>
      <c r="AM96" s="49"/>
      <c r="AN96" s="64" t="str">
        <f t="shared" si="33"/>
        <v>0xB0</v>
      </c>
    </row>
    <row r="97" hidden="1">
      <c r="A97" s="51" t="str">
        <f t="shared" si="2"/>
        <v>E909</v>
      </c>
      <c r="B97" s="52" t="str">
        <f>IFERROR(__xludf.DUMMYFUNCTION("REGEXREPLACE($H97, ""(?i)^8301(E000|E100|E200|E300)?"", """")"),"E90900210FB3B9A2A1B9B0")</f>
        <v>E90900210FB3B9A2A1B9B0</v>
      </c>
      <c r="C97" s="65" t="s">
        <v>198</v>
      </c>
      <c r="D97" s="65" t="s">
        <v>489</v>
      </c>
      <c r="E97" s="65" t="s">
        <v>75</v>
      </c>
      <c r="F97" s="65" t="s">
        <v>76</v>
      </c>
      <c r="G97" s="67">
        <v>46219.0</v>
      </c>
      <c r="H97" s="68" t="s">
        <v>216</v>
      </c>
      <c r="I97" s="53"/>
      <c r="J97" s="57" t="str">
        <f t="shared" si="3"/>
        <v>0x09</v>
      </c>
      <c r="K97" s="58" t="str">
        <f t="shared" si="4"/>
        <v>0x00</v>
      </c>
      <c r="L97" s="58" t="str">
        <f t="shared" si="5"/>
        <v>0x21</v>
      </c>
      <c r="M97" s="59">
        <v>5.0</v>
      </c>
      <c r="N97" s="59" t="str">
        <f t="shared" si="27"/>
        <v>0x0F</v>
      </c>
      <c r="O97" s="71" t="str">
        <f t="shared" si="28"/>
        <v>0xB3</v>
      </c>
      <c r="P97" s="71" t="str">
        <f t="shared" si="29"/>
        <v>0xB9</v>
      </c>
      <c r="Q97" s="71" t="str">
        <f t="shared" si="30"/>
        <v>0xA2</v>
      </c>
      <c r="R97" s="59"/>
      <c r="S97" s="71" t="str">
        <f t="shared" si="31"/>
        <v>0xA1</v>
      </c>
      <c r="T97" s="71" t="str">
        <f t="shared" si="32"/>
        <v>0xB9</v>
      </c>
      <c r="U97" s="71"/>
      <c r="V97" s="63"/>
      <c r="W97" s="63"/>
      <c r="X97" s="63"/>
      <c r="Y97" s="63"/>
      <c r="Z97" s="63"/>
      <c r="AA97" s="63"/>
      <c r="AB97" s="63"/>
      <c r="AC97" s="63"/>
      <c r="AD97" s="63"/>
      <c r="AE97" s="63"/>
      <c r="AF97" s="63"/>
      <c r="AG97" s="63"/>
      <c r="AH97" s="63"/>
      <c r="AI97" s="63"/>
      <c r="AJ97" s="63"/>
      <c r="AK97" s="63"/>
      <c r="AL97" s="63"/>
      <c r="AM97" s="63"/>
      <c r="AN97" s="74" t="str">
        <f t="shared" si="33"/>
        <v>0xB0</v>
      </c>
    </row>
    <row r="98" hidden="1">
      <c r="A98" s="33" t="str">
        <f t="shared" si="2"/>
        <v>E909</v>
      </c>
      <c r="B98" s="34" t="str">
        <f>IFERROR(__xludf.DUMMYFUNCTION("REGEXREPLACE($H98, ""(?i)^8301(E000|E100|E200|E300)?"", """")"),"E90900210FB9B1B6B1B6B0")</f>
        <v>E90900210FB9B1B6B1B6B0</v>
      </c>
      <c r="C98" s="36" t="s">
        <v>198</v>
      </c>
      <c r="D98" s="36" t="s">
        <v>489</v>
      </c>
      <c r="E98" s="36" t="s">
        <v>106</v>
      </c>
      <c r="F98" s="36" t="s">
        <v>175</v>
      </c>
      <c r="G98" s="37">
        <v>46220.0</v>
      </c>
      <c r="H98" s="38" t="s">
        <v>219</v>
      </c>
      <c r="I98" s="35"/>
      <c r="J98" s="39" t="str">
        <f t="shared" si="3"/>
        <v>0x09</v>
      </c>
      <c r="K98" s="40" t="str">
        <f t="shared" si="4"/>
        <v>0x00</v>
      </c>
      <c r="L98" s="40" t="str">
        <f t="shared" si="5"/>
        <v>0x21</v>
      </c>
      <c r="M98" s="42">
        <v>5.0</v>
      </c>
      <c r="N98" s="42" t="str">
        <f t="shared" si="27"/>
        <v>0x0F</v>
      </c>
      <c r="O98" s="48" t="str">
        <f t="shared" si="28"/>
        <v>0xB9</v>
      </c>
      <c r="P98" s="48" t="str">
        <f t="shared" si="29"/>
        <v>0xB1</v>
      </c>
      <c r="Q98" s="48" t="str">
        <f t="shared" si="30"/>
        <v>0xB6</v>
      </c>
      <c r="R98" s="42"/>
      <c r="S98" s="48" t="str">
        <f t="shared" si="31"/>
        <v>0xB1</v>
      </c>
      <c r="T98" s="48" t="str">
        <f t="shared" si="32"/>
        <v>0xB6</v>
      </c>
      <c r="U98" s="48"/>
      <c r="V98" s="49"/>
      <c r="W98" s="49"/>
      <c r="X98" s="49"/>
      <c r="Y98" s="49"/>
      <c r="Z98" s="49"/>
      <c r="AA98" s="49"/>
      <c r="AB98" s="49"/>
      <c r="AC98" s="49"/>
      <c r="AD98" s="49"/>
      <c r="AE98" s="49"/>
      <c r="AF98" s="49"/>
      <c r="AG98" s="49"/>
      <c r="AH98" s="49"/>
      <c r="AI98" s="49"/>
      <c r="AJ98" s="49"/>
      <c r="AK98" s="49"/>
      <c r="AL98" s="49"/>
      <c r="AM98" s="49"/>
      <c r="AN98" s="64" t="str">
        <f t="shared" si="33"/>
        <v>0xB0</v>
      </c>
    </row>
    <row r="99" hidden="1">
      <c r="A99" s="51" t="str">
        <f t="shared" si="2"/>
        <v>E909</v>
      </c>
      <c r="B99" s="52" t="str">
        <f>IFERROR(__xludf.DUMMYFUNCTION("REGEXREPLACE($H99, ""(?i)^8301(E000|E100|E200|E300)?"", """")"),"E90900220FA1A2A0A2A0BA")</f>
        <v>E90900220FA1A2A0A2A0BA</v>
      </c>
      <c r="C99" s="65" t="s">
        <v>198</v>
      </c>
      <c r="D99" s="65" t="s">
        <v>489</v>
      </c>
      <c r="E99" s="65" t="s">
        <v>106</v>
      </c>
      <c r="F99" s="65" t="s">
        <v>175</v>
      </c>
      <c r="G99" s="67">
        <v>46220.0</v>
      </c>
      <c r="H99" s="68" t="s">
        <v>221</v>
      </c>
      <c r="I99" s="53"/>
      <c r="J99" s="57" t="str">
        <f t="shared" si="3"/>
        <v>0x09</v>
      </c>
      <c r="K99" s="58" t="str">
        <f t="shared" si="4"/>
        <v>0x00</v>
      </c>
      <c r="L99" s="58" t="str">
        <f t="shared" si="5"/>
        <v>0x22</v>
      </c>
      <c r="M99" s="59">
        <v>5.0</v>
      </c>
      <c r="N99" s="59" t="str">
        <f t="shared" si="27"/>
        <v>0x0F</v>
      </c>
      <c r="O99" s="71" t="str">
        <f t="shared" si="28"/>
        <v>0xA1</v>
      </c>
      <c r="P99" s="71" t="str">
        <f t="shared" si="29"/>
        <v>0xA2</v>
      </c>
      <c r="Q99" s="71" t="str">
        <f t="shared" si="30"/>
        <v>0xA0</v>
      </c>
      <c r="R99" s="59"/>
      <c r="S99" s="71" t="str">
        <f t="shared" si="31"/>
        <v>0xA2</v>
      </c>
      <c r="T99" s="71" t="str">
        <f t="shared" si="32"/>
        <v>0xA0</v>
      </c>
      <c r="U99" s="71"/>
      <c r="V99" s="63"/>
      <c r="W99" s="63"/>
      <c r="X99" s="63"/>
      <c r="Y99" s="63"/>
      <c r="Z99" s="63"/>
      <c r="AA99" s="63"/>
      <c r="AB99" s="63"/>
      <c r="AC99" s="63"/>
      <c r="AD99" s="63"/>
      <c r="AE99" s="63"/>
      <c r="AF99" s="63"/>
      <c r="AG99" s="63"/>
      <c r="AH99" s="63"/>
      <c r="AI99" s="63"/>
      <c r="AJ99" s="63"/>
      <c r="AK99" s="63"/>
      <c r="AL99" s="63"/>
      <c r="AM99" s="63"/>
      <c r="AN99" s="74" t="str">
        <f t="shared" si="33"/>
        <v>0xBA</v>
      </c>
    </row>
    <row r="100" hidden="1">
      <c r="A100" s="33" t="str">
        <f t="shared" si="2"/>
        <v>E909</v>
      </c>
      <c r="B100" s="34" t="str">
        <f>IFERROR(__xludf.DUMMYFUNCTION("REGEXREPLACE($H100, ""(?i)^8301(E000|E100|E200|E300)?"", """")"),"E90900220FAEA8B4B4A8BA")</f>
        <v>E90900220FAEA8B4B4A8BA</v>
      </c>
      <c r="C100" s="36" t="s">
        <v>198</v>
      </c>
      <c r="D100" s="36" t="s">
        <v>489</v>
      </c>
      <c r="E100" s="36" t="s">
        <v>129</v>
      </c>
      <c r="F100" s="69" t="s">
        <v>137</v>
      </c>
      <c r="G100" s="37">
        <v>46240.0</v>
      </c>
      <c r="H100" s="44" t="s">
        <v>222</v>
      </c>
      <c r="I100" s="35"/>
      <c r="J100" s="39" t="str">
        <f t="shared" si="3"/>
        <v>0x09</v>
      </c>
      <c r="K100" s="40" t="str">
        <f t="shared" si="4"/>
        <v>0x00</v>
      </c>
      <c r="L100" s="40" t="str">
        <f t="shared" si="5"/>
        <v>0x22</v>
      </c>
      <c r="M100" s="42">
        <v>5.0</v>
      </c>
      <c r="N100" s="42" t="str">
        <f t="shared" si="27"/>
        <v>0x0F</v>
      </c>
      <c r="O100" s="48" t="str">
        <f t="shared" si="28"/>
        <v>0xAE</v>
      </c>
      <c r="P100" s="48" t="str">
        <f t="shared" si="29"/>
        <v>0xA8</v>
      </c>
      <c r="Q100" s="48" t="str">
        <f t="shared" si="30"/>
        <v>0xB4</v>
      </c>
      <c r="R100" s="42"/>
      <c r="S100" s="48" t="str">
        <f t="shared" si="31"/>
        <v>0xB4</v>
      </c>
      <c r="T100" s="48" t="str">
        <f t="shared" si="32"/>
        <v>0xA8</v>
      </c>
      <c r="U100" s="48"/>
      <c r="V100" s="49"/>
      <c r="W100" s="49"/>
      <c r="X100" s="49"/>
      <c r="Y100" s="49"/>
      <c r="Z100" s="49"/>
      <c r="AA100" s="49"/>
      <c r="AB100" s="49"/>
      <c r="AC100" s="49"/>
      <c r="AD100" s="49"/>
      <c r="AE100" s="49"/>
      <c r="AF100" s="49"/>
      <c r="AG100" s="49"/>
      <c r="AH100" s="49"/>
      <c r="AI100" s="49"/>
      <c r="AJ100" s="49"/>
      <c r="AK100" s="49"/>
      <c r="AL100" s="49"/>
      <c r="AM100" s="49"/>
      <c r="AN100" s="64" t="str">
        <f t="shared" si="33"/>
        <v>0xBA</v>
      </c>
    </row>
    <row r="101">
      <c r="A101" s="51" t="str">
        <f t="shared" si="2"/>
        <v>E909</v>
      </c>
      <c r="B101" s="52" t="str">
        <f>IFERROR(__xludf.DUMMYFUNCTION("REGEXREPLACE($H101, ""(?i)^8301(E000|E100|E200|E300)?"", """")"),"E90900220FAFB4B0B0B4BA")</f>
        <v>E90900220FAFB4B0B0B4BA</v>
      </c>
      <c r="C101" s="65" t="s">
        <v>198</v>
      </c>
      <c r="D101" s="65" t="s">
        <v>489</v>
      </c>
      <c r="E101" s="65" t="s">
        <v>217</v>
      </c>
      <c r="F101" s="65" t="s">
        <v>218</v>
      </c>
      <c r="G101" s="67">
        <v>46244.0</v>
      </c>
      <c r="H101" s="68" t="s">
        <v>457</v>
      </c>
      <c r="I101" s="65"/>
      <c r="J101" s="57" t="str">
        <f t="shared" si="3"/>
        <v>0x09</v>
      </c>
      <c r="K101" s="58" t="str">
        <f t="shared" si="4"/>
        <v>0x00</v>
      </c>
      <c r="L101" s="58" t="str">
        <f t="shared" si="5"/>
        <v>0x22</v>
      </c>
      <c r="M101" s="59">
        <v>5.0</v>
      </c>
      <c r="N101" s="59" t="str">
        <f t="shared" si="27"/>
        <v>0x0F</v>
      </c>
      <c r="O101" s="71" t="str">
        <f t="shared" si="28"/>
        <v>0xAF</v>
      </c>
      <c r="P101" s="71" t="str">
        <f t="shared" si="29"/>
        <v>0xB4</v>
      </c>
      <c r="Q101" s="71" t="str">
        <f t="shared" si="30"/>
        <v>0xB0</v>
      </c>
      <c r="R101" s="59"/>
      <c r="S101" s="71" t="str">
        <f t="shared" si="31"/>
        <v>0xB0</v>
      </c>
      <c r="T101" s="71" t="str">
        <f t="shared" si="32"/>
        <v>0xB4</v>
      </c>
      <c r="U101" s="71"/>
      <c r="V101" s="63"/>
      <c r="W101" s="63"/>
      <c r="X101" s="63"/>
      <c r="Y101" s="63"/>
      <c r="Z101" s="63"/>
      <c r="AA101" s="63"/>
      <c r="AB101" s="63"/>
      <c r="AC101" s="63"/>
      <c r="AD101" s="63"/>
      <c r="AE101" s="63"/>
      <c r="AF101" s="63"/>
      <c r="AG101" s="63"/>
      <c r="AH101" s="63"/>
      <c r="AI101" s="63"/>
      <c r="AJ101" s="63"/>
      <c r="AK101" s="63"/>
      <c r="AL101" s="63"/>
      <c r="AM101" s="63"/>
      <c r="AN101" s="74" t="str">
        <f t="shared" si="33"/>
        <v>0xBA</v>
      </c>
    </row>
    <row r="102" hidden="1">
      <c r="A102" s="33" t="str">
        <f t="shared" si="2"/>
        <v>E909</v>
      </c>
      <c r="B102" s="34" t="str">
        <f>IFERROR(__xludf.DUMMYFUNCTION("REGEXREPLACE($H102, ""(?i)^8301(E000|E100|E200|E300)?"", """")"),"E90900230FA4A4A4A4A4BD")</f>
        <v>E90900230FA4A4A4A4A4BD</v>
      </c>
      <c r="C102" s="36" t="s">
        <v>198</v>
      </c>
      <c r="D102" s="36" t="s">
        <v>489</v>
      </c>
      <c r="E102" s="36" t="s">
        <v>75</v>
      </c>
      <c r="F102" s="36" t="s">
        <v>76</v>
      </c>
      <c r="G102" s="37">
        <v>46208.0</v>
      </c>
      <c r="H102" s="38" t="s">
        <v>223</v>
      </c>
      <c r="I102" s="35"/>
      <c r="J102" s="39" t="str">
        <f t="shared" si="3"/>
        <v>0x09</v>
      </c>
      <c r="K102" s="40" t="str">
        <f t="shared" si="4"/>
        <v>0x00</v>
      </c>
      <c r="L102" s="40" t="str">
        <f t="shared" si="5"/>
        <v>0x23</v>
      </c>
      <c r="M102" s="42">
        <v>5.0</v>
      </c>
      <c r="N102" s="42" t="str">
        <f t="shared" si="27"/>
        <v>0x0F</v>
      </c>
      <c r="O102" s="48" t="str">
        <f t="shared" si="28"/>
        <v>0xA4</v>
      </c>
      <c r="P102" s="48" t="str">
        <f t="shared" si="29"/>
        <v>0xA4</v>
      </c>
      <c r="Q102" s="48" t="str">
        <f t="shared" si="30"/>
        <v>0xA4</v>
      </c>
      <c r="R102" s="42"/>
      <c r="S102" s="48" t="str">
        <f t="shared" si="31"/>
        <v>0xA4</v>
      </c>
      <c r="T102" s="48" t="str">
        <f t="shared" si="32"/>
        <v>0xA4</v>
      </c>
      <c r="U102" s="48"/>
      <c r="V102" s="49"/>
      <c r="W102" s="49"/>
      <c r="X102" s="49"/>
      <c r="Y102" s="49"/>
      <c r="Z102" s="49"/>
      <c r="AA102" s="49"/>
      <c r="AB102" s="49"/>
      <c r="AC102" s="49"/>
      <c r="AD102" s="49"/>
      <c r="AE102" s="49"/>
      <c r="AF102" s="49"/>
      <c r="AG102" s="49"/>
      <c r="AH102" s="49"/>
      <c r="AI102" s="49"/>
      <c r="AJ102" s="49"/>
      <c r="AK102" s="49"/>
      <c r="AL102" s="49"/>
      <c r="AM102" s="49"/>
      <c r="AN102" s="64" t="str">
        <f t="shared" si="33"/>
        <v>0xBD</v>
      </c>
    </row>
    <row r="103" hidden="1">
      <c r="A103" s="51" t="str">
        <f t="shared" si="2"/>
        <v>E909</v>
      </c>
      <c r="B103" s="52" t="str">
        <f>IFERROR(__xludf.DUMMYFUNCTION("REGEXREPLACE($H103, ""(?i)^8301(E000|E100|E200|E300)?"", """")"),"E90900230FA4B5B2B5B2B0")</f>
        <v>E90900230FA4B5B2B5B2B0</v>
      </c>
      <c r="C103" s="65" t="s">
        <v>198</v>
      </c>
      <c r="D103" s="65" t="s">
        <v>489</v>
      </c>
      <c r="E103" s="65" t="s">
        <v>129</v>
      </c>
      <c r="F103" s="65" t="s">
        <v>137</v>
      </c>
      <c r="G103" s="67">
        <v>46207.0</v>
      </c>
      <c r="H103" s="56" t="s">
        <v>224</v>
      </c>
      <c r="I103" s="53"/>
      <c r="J103" s="57" t="str">
        <f t="shared" si="3"/>
        <v>0x09</v>
      </c>
      <c r="K103" s="58" t="str">
        <f t="shared" si="4"/>
        <v>0x00</v>
      </c>
      <c r="L103" s="58" t="str">
        <f t="shared" si="5"/>
        <v>0x23</v>
      </c>
      <c r="M103" s="59">
        <v>5.0</v>
      </c>
      <c r="N103" s="59" t="str">
        <f t="shared" si="27"/>
        <v>0x0F</v>
      </c>
      <c r="O103" s="71" t="str">
        <f t="shared" si="28"/>
        <v>0xA4</v>
      </c>
      <c r="P103" s="71" t="str">
        <f t="shared" si="29"/>
        <v>0xB5</v>
      </c>
      <c r="Q103" s="71" t="str">
        <f t="shared" si="30"/>
        <v>0xB2</v>
      </c>
      <c r="R103" s="59"/>
      <c r="S103" s="71" t="str">
        <f t="shared" si="31"/>
        <v>0xB5</v>
      </c>
      <c r="T103" s="71" t="str">
        <f t="shared" si="32"/>
        <v>0xB2</v>
      </c>
      <c r="U103" s="71"/>
      <c r="V103" s="63"/>
      <c r="W103" s="63"/>
      <c r="X103" s="63"/>
      <c r="Y103" s="63"/>
      <c r="Z103" s="63"/>
      <c r="AA103" s="63"/>
      <c r="AB103" s="63"/>
      <c r="AC103" s="63"/>
      <c r="AD103" s="63"/>
      <c r="AE103" s="63"/>
      <c r="AF103" s="63"/>
      <c r="AG103" s="63"/>
      <c r="AH103" s="63"/>
      <c r="AI103" s="63"/>
      <c r="AJ103" s="63"/>
      <c r="AK103" s="63"/>
      <c r="AL103" s="63"/>
      <c r="AM103" s="63"/>
      <c r="AN103" s="74" t="str">
        <f t="shared" si="33"/>
        <v>0xB0</v>
      </c>
    </row>
    <row r="104">
      <c r="A104" s="33" t="str">
        <f t="shared" si="2"/>
        <v>E909</v>
      </c>
      <c r="B104" s="34" t="str">
        <f>IFERROR(__xludf.DUMMYFUNCTION("REGEXREPLACE($H104, ""(?i)^8301(E000|E100|E200|E300)?"", """")"),"E90900230FBDAEB3A2B9BB")</f>
        <v>E90900230FBDAEB3A2B9BB</v>
      </c>
      <c r="C104" s="36" t="s">
        <v>198</v>
      </c>
      <c r="D104" s="36" t="s">
        <v>489</v>
      </c>
      <c r="E104" s="36" t="s">
        <v>217</v>
      </c>
      <c r="F104" s="36" t="s">
        <v>218</v>
      </c>
      <c r="G104" s="37">
        <v>46244.0</v>
      </c>
      <c r="H104" s="38" t="s">
        <v>443</v>
      </c>
      <c r="I104" s="36"/>
      <c r="J104" s="39" t="str">
        <f t="shared" si="3"/>
        <v>0x09</v>
      </c>
      <c r="K104" s="40" t="str">
        <f t="shared" si="4"/>
        <v>0x00</v>
      </c>
      <c r="L104" s="40" t="str">
        <f t="shared" si="5"/>
        <v>0x23</v>
      </c>
      <c r="M104" s="42">
        <v>5.0</v>
      </c>
      <c r="N104" s="42" t="str">
        <f t="shared" si="27"/>
        <v>0x0F</v>
      </c>
      <c r="O104" s="48" t="str">
        <f t="shared" si="28"/>
        <v>0xBD</v>
      </c>
      <c r="P104" s="48" t="str">
        <f t="shared" si="29"/>
        <v>0xAE</v>
      </c>
      <c r="Q104" s="48" t="str">
        <f t="shared" si="30"/>
        <v>0xB3</v>
      </c>
      <c r="R104" s="42"/>
      <c r="S104" s="48" t="str">
        <f t="shared" si="31"/>
        <v>0xA2</v>
      </c>
      <c r="T104" s="48" t="str">
        <f t="shared" si="32"/>
        <v>0xB9</v>
      </c>
      <c r="U104" s="48"/>
      <c r="V104" s="49"/>
      <c r="W104" s="49"/>
      <c r="X104" s="49"/>
      <c r="Y104" s="49"/>
      <c r="Z104" s="49"/>
      <c r="AA104" s="49"/>
      <c r="AB104" s="49"/>
      <c r="AC104" s="49"/>
      <c r="AD104" s="49"/>
      <c r="AE104" s="49"/>
      <c r="AF104" s="49"/>
      <c r="AG104" s="49"/>
      <c r="AH104" s="49"/>
      <c r="AI104" s="49"/>
      <c r="AJ104" s="49"/>
      <c r="AK104" s="49"/>
      <c r="AL104" s="49"/>
      <c r="AM104" s="49"/>
      <c r="AN104" s="64" t="str">
        <f t="shared" si="33"/>
        <v>0xBB</v>
      </c>
    </row>
    <row r="105" hidden="1">
      <c r="A105" s="51" t="str">
        <f t="shared" si="2"/>
        <v>E909</v>
      </c>
      <c r="B105" s="52" t="str">
        <f>IFERROR(__xludf.DUMMYFUNCTION("REGEXREPLACE($H105, ""(?i)^8301(E000|E100|E200|E300)?"", """")"),"E90900240FBCB9B9A2A2B0")</f>
        <v>E90900240FBCB9B9A2A2B0</v>
      </c>
      <c r="C105" s="65" t="s">
        <v>198</v>
      </c>
      <c r="D105" s="65" t="s">
        <v>489</v>
      </c>
      <c r="E105" s="65" t="s">
        <v>75</v>
      </c>
      <c r="F105" s="65" t="s">
        <v>120</v>
      </c>
      <c r="G105" s="67">
        <v>46219.0</v>
      </c>
      <c r="H105" s="68" t="s">
        <v>225</v>
      </c>
      <c r="I105" s="53"/>
      <c r="J105" s="57" t="str">
        <f t="shared" si="3"/>
        <v>0x09</v>
      </c>
      <c r="K105" s="58" t="str">
        <f t="shared" si="4"/>
        <v>0x00</v>
      </c>
      <c r="L105" s="58" t="str">
        <f t="shared" si="5"/>
        <v>0x24</v>
      </c>
      <c r="M105" s="59">
        <v>5.0</v>
      </c>
      <c r="N105" s="59" t="str">
        <f t="shared" si="27"/>
        <v>0x0F</v>
      </c>
      <c r="O105" s="71" t="str">
        <f t="shared" si="28"/>
        <v>0xBC</v>
      </c>
      <c r="P105" s="71" t="str">
        <f t="shared" si="29"/>
        <v>0xB9</v>
      </c>
      <c r="Q105" s="71" t="str">
        <f t="shared" si="30"/>
        <v>0xB9</v>
      </c>
      <c r="R105" s="59"/>
      <c r="S105" s="71" t="str">
        <f t="shared" si="31"/>
        <v>0xA2</v>
      </c>
      <c r="T105" s="71" t="str">
        <f t="shared" si="32"/>
        <v>0xA2</v>
      </c>
      <c r="U105" s="71"/>
      <c r="V105" s="63"/>
      <c r="W105" s="63"/>
      <c r="X105" s="63"/>
      <c r="Y105" s="63"/>
      <c r="Z105" s="63"/>
      <c r="AA105" s="63"/>
      <c r="AB105" s="63"/>
      <c r="AC105" s="63"/>
      <c r="AD105" s="63"/>
      <c r="AE105" s="63"/>
      <c r="AF105" s="63"/>
      <c r="AG105" s="63"/>
      <c r="AH105" s="63"/>
      <c r="AI105" s="63"/>
      <c r="AJ105" s="63"/>
      <c r="AK105" s="63"/>
      <c r="AL105" s="63"/>
      <c r="AM105" s="63"/>
      <c r="AN105" s="74" t="str">
        <f t="shared" si="33"/>
        <v>0xB0</v>
      </c>
    </row>
    <row r="106" hidden="1">
      <c r="A106" s="33" t="str">
        <f t="shared" si="2"/>
        <v>E909</v>
      </c>
      <c r="B106" s="34" t="str">
        <f>IFERROR(__xludf.DUMMYFUNCTION("REGEXREPLACE($H106, ""(?i)^8301(E000|E100|E200|E300)?"", """")"),"E909002C0FB0A8A2A8A2B0")</f>
        <v>E909002C0FB0A8A2A8A2B0</v>
      </c>
      <c r="C106" s="36" t="s">
        <v>198</v>
      </c>
      <c r="D106" s="36" t="s">
        <v>489</v>
      </c>
      <c r="E106" s="36" t="s">
        <v>129</v>
      </c>
      <c r="F106" s="36" t="s">
        <v>137</v>
      </c>
      <c r="G106" s="37">
        <v>46207.0</v>
      </c>
      <c r="H106" s="44" t="s">
        <v>226</v>
      </c>
      <c r="I106" s="35"/>
      <c r="J106" s="39" t="str">
        <f t="shared" si="3"/>
        <v>0x09</v>
      </c>
      <c r="K106" s="40" t="str">
        <f t="shared" si="4"/>
        <v>0x00</v>
      </c>
      <c r="L106" s="40" t="str">
        <f t="shared" si="5"/>
        <v>0x2C</v>
      </c>
      <c r="M106" s="42">
        <v>5.0</v>
      </c>
      <c r="N106" s="42" t="str">
        <f t="shared" si="27"/>
        <v>0x0F</v>
      </c>
      <c r="O106" s="48" t="str">
        <f t="shared" si="28"/>
        <v>0xB0</v>
      </c>
      <c r="P106" s="48" t="str">
        <f t="shared" si="29"/>
        <v>0xA8</v>
      </c>
      <c r="Q106" s="48" t="str">
        <f t="shared" si="30"/>
        <v>0xA2</v>
      </c>
      <c r="R106" s="42"/>
      <c r="S106" s="48" t="str">
        <f t="shared" si="31"/>
        <v>0xA8</v>
      </c>
      <c r="T106" s="48" t="str">
        <f t="shared" si="32"/>
        <v>0xA2</v>
      </c>
      <c r="U106" s="48"/>
      <c r="V106" s="49"/>
      <c r="W106" s="49"/>
      <c r="X106" s="49"/>
      <c r="Y106" s="49"/>
      <c r="Z106" s="49"/>
      <c r="AA106" s="49"/>
      <c r="AB106" s="49"/>
      <c r="AC106" s="49"/>
      <c r="AD106" s="49"/>
      <c r="AE106" s="49"/>
      <c r="AF106" s="49"/>
      <c r="AG106" s="49"/>
      <c r="AH106" s="49"/>
      <c r="AI106" s="49"/>
      <c r="AJ106" s="49"/>
      <c r="AK106" s="49"/>
      <c r="AL106" s="49"/>
      <c r="AM106" s="49"/>
      <c r="AN106" s="64" t="str">
        <f t="shared" si="33"/>
        <v>0xB0</v>
      </c>
    </row>
    <row r="107" hidden="1">
      <c r="A107" s="51" t="str">
        <f t="shared" si="2"/>
        <v>E909</v>
      </c>
      <c r="B107" s="52" t="str">
        <f>IFERROR(__xludf.DUMMYFUNCTION("REGEXREPLACE($H107, ""(?i)^8301(E000|E100|E200|E300)?"", """")"),"E90900410FB5BDBDB5B5B0")</f>
        <v>E90900410FB5BDBDB5B5B0</v>
      </c>
      <c r="C107" s="65" t="s">
        <v>198</v>
      </c>
      <c r="D107" s="65" t="s">
        <v>489</v>
      </c>
      <c r="E107" s="65" t="s">
        <v>75</v>
      </c>
      <c r="F107" s="65" t="s">
        <v>120</v>
      </c>
      <c r="G107" s="67">
        <v>46219.0</v>
      </c>
      <c r="H107" s="68" t="s">
        <v>227</v>
      </c>
      <c r="I107" s="53"/>
      <c r="J107" s="57" t="str">
        <f t="shared" si="3"/>
        <v>0x09</v>
      </c>
      <c r="K107" s="58" t="str">
        <f t="shared" si="4"/>
        <v>0x00</v>
      </c>
      <c r="L107" s="58" t="str">
        <f t="shared" si="5"/>
        <v>0x41</v>
      </c>
      <c r="M107" s="59">
        <v>5.0</v>
      </c>
      <c r="N107" s="59" t="str">
        <f t="shared" si="27"/>
        <v>0x0F</v>
      </c>
      <c r="O107" s="71" t="str">
        <f t="shared" si="28"/>
        <v>0xB5</v>
      </c>
      <c r="P107" s="71" t="str">
        <f t="shared" si="29"/>
        <v>0xBD</v>
      </c>
      <c r="Q107" s="71" t="str">
        <f t="shared" si="30"/>
        <v>0xBD</v>
      </c>
      <c r="R107" s="59"/>
      <c r="S107" s="71" t="str">
        <f t="shared" si="31"/>
        <v>0xB5</v>
      </c>
      <c r="T107" s="71" t="str">
        <f t="shared" si="32"/>
        <v>0xB5</v>
      </c>
      <c r="U107" s="71"/>
      <c r="V107" s="63"/>
      <c r="W107" s="63"/>
      <c r="X107" s="63"/>
      <c r="Y107" s="63"/>
      <c r="Z107" s="63"/>
      <c r="AA107" s="63"/>
      <c r="AB107" s="63"/>
      <c r="AC107" s="63"/>
      <c r="AD107" s="63"/>
      <c r="AE107" s="63"/>
      <c r="AF107" s="63"/>
      <c r="AG107" s="63"/>
      <c r="AH107" s="63"/>
      <c r="AI107" s="63"/>
      <c r="AJ107" s="63"/>
      <c r="AK107" s="63"/>
      <c r="AL107" s="63"/>
      <c r="AM107" s="63"/>
      <c r="AN107" s="74" t="str">
        <f t="shared" si="33"/>
        <v>0xB0</v>
      </c>
    </row>
    <row r="108" hidden="1">
      <c r="A108" s="33" t="str">
        <f t="shared" si="2"/>
        <v>E909</v>
      </c>
      <c r="B108" s="34" t="str">
        <f>IFERROR(__xludf.DUMMYFUNCTION("REGEXREPLACE($H108, ""(?i)^8301(E000|E100|E200|E300)?"", """")"),"E90900420FBDBDB1B1BDB0")</f>
        <v>E90900420FBDBDB1B1BDB0</v>
      </c>
      <c r="C108" s="36" t="s">
        <v>198</v>
      </c>
      <c r="D108" s="36" t="s">
        <v>489</v>
      </c>
      <c r="E108" s="36" t="s">
        <v>75</v>
      </c>
      <c r="F108" s="36" t="s">
        <v>120</v>
      </c>
      <c r="G108" s="37">
        <v>46219.0</v>
      </c>
      <c r="H108" s="38" t="s">
        <v>228</v>
      </c>
      <c r="I108" s="35"/>
      <c r="J108" s="39" t="str">
        <f t="shared" si="3"/>
        <v>0x09</v>
      </c>
      <c r="K108" s="40" t="str">
        <f t="shared" si="4"/>
        <v>0x00</v>
      </c>
      <c r="L108" s="40" t="str">
        <f t="shared" si="5"/>
        <v>0x42</v>
      </c>
      <c r="M108" s="42">
        <v>5.0</v>
      </c>
      <c r="N108" s="42" t="str">
        <f t="shared" si="27"/>
        <v>0x0F</v>
      </c>
      <c r="O108" s="48" t="str">
        <f t="shared" si="28"/>
        <v>0xBD</v>
      </c>
      <c r="P108" s="48" t="str">
        <f t="shared" si="29"/>
        <v>0xBD</v>
      </c>
      <c r="Q108" s="48" t="str">
        <f t="shared" si="30"/>
        <v>0xB1</v>
      </c>
      <c r="R108" s="42"/>
      <c r="S108" s="48" t="str">
        <f t="shared" si="31"/>
        <v>0xB1</v>
      </c>
      <c r="T108" s="48" t="str">
        <f t="shared" si="32"/>
        <v>0xBD</v>
      </c>
      <c r="U108" s="48"/>
      <c r="V108" s="49"/>
      <c r="W108" s="49"/>
      <c r="X108" s="49"/>
      <c r="Y108" s="49"/>
      <c r="Z108" s="49"/>
      <c r="AA108" s="49"/>
      <c r="AB108" s="49"/>
      <c r="AC108" s="49"/>
      <c r="AD108" s="49"/>
      <c r="AE108" s="49"/>
      <c r="AF108" s="49"/>
      <c r="AG108" s="49"/>
      <c r="AH108" s="49"/>
      <c r="AI108" s="49"/>
      <c r="AJ108" s="49"/>
      <c r="AK108" s="49"/>
      <c r="AL108" s="49"/>
      <c r="AM108" s="49"/>
      <c r="AN108" s="64" t="str">
        <f t="shared" si="33"/>
        <v>0xB0</v>
      </c>
    </row>
    <row r="109" hidden="1">
      <c r="A109" s="51" t="str">
        <f t="shared" si="2"/>
        <v>E909</v>
      </c>
      <c r="B109" s="52" t="str">
        <f>IFERROR(__xludf.DUMMYFUNCTION("REGEXREPLACE($H109, ""(?i)^8301(E000|E100|E200|E300)?"", """")"),"E90900430FB1B1B1B1B1B0")</f>
        <v>E90900430FB1B1B1B1B1B0</v>
      </c>
      <c r="C109" s="65" t="s">
        <v>198</v>
      </c>
      <c r="D109" s="65" t="s">
        <v>489</v>
      </c>
      <c r="E109" s="65" t="s">
        <v>75</v>
      </c>
      <c r="F109" s="65" t="s">
        <v>120</v>
      </c>
      <c r="G109" s="67">
        <v>46219.0</v>
      </c>
      <c r="H109" s="68" t="s">
        <v>229</v>
      </c>
      <c r="I109" s="53"/>
      <c r="J109" s="57" t="str">
        <f t="shared" si="3"/>
        <v>0x09</v>
      </c>
      <c r="K109" s="58" t="str">
        <f t="shared" si="4"/>
        <v>0x00</v>
      </c>
      <c r="L109" s="58" t="str">
        <f t="shared" si="5"/>
        <v>0x43</v>
      </c>
      <c r="M109" s="59">
        <v>5.0</v>
      </c>
      <c r="N109" s="59" t="str">
        <f t="shared" si="27"/>
        <v>0x0F</v>
      </c>
      <c r="O109" s="71" t="str">
        <f t="shared" si="28"/>
        <v>0xB1</v>
      </c>
      <c r="P109" s="71" t="str">
        <f t="shared" si="29"/>
        <v>0xB1</v>
      </c>
      <c r="Q109" s="71" t="str">
        <f t="shared" si="30"/>
        <v>0xB1</v>
      </c>
      <c r="R109" s="59"/>
      <c r="S109" s="71" t="str">
        <f t="shared" si="31"/>
        <v>0xB1</v>
      </c>
      <c r="T109" s="71" t="str">
        <f t="shared" si="32"/>
        <v>0xB1</v>
      </c>
      <c r="U109" s="71"/>
      <c r="V109" s="63"/>
      <c r="W109" s="63"/>
      <c r="X109" s="63"/>
      <c r="Y109" s="63"/>
      <c r="Z109" s="63"/>
      <c r="AA109" s="63"/>
      <c r="AB109" s="63"/>
      <c r="AC109" s="63"/>
      <c r="AD109" s="63"/>
      <c r="AE109" s="63"/>
      <c r="AF109" s="63"/>
      <c r="AG109" s="63"/>
      <c r="AH109" s="63"/>
      <c r="AI109" s="63"/>
      <c r="AJ109" s="63"/>
      <c r="AK109" s="63"/>
      <c r="AL109" s="63"/>
      <c r="AM109" s="63"/>
      <c r="AN109" s="74" t="str">
        <f t="shared" si="33"/>
        <v>0xB0</v>
      </c>
    </row>
    <row r="110">
      <c r="A110" s="33" t="str">
        <f t="shared" si="2"/>
        <v>E909</v>
      </c>
      <c r="B110" s="34" t="str">
        <f>IFERROR(__xludf.DUMMYFUNCTION("REGEXREPLACE($H110, ""(?i)^8301(E000|E100|E200|E300)?"", """")"),"E909004F0FB3A3AEAEA3B0")</f>
        <v>E909004F0FB3A3AEAEA3B0</v>
      </c>
      <c r="C110" s="36" t="s">
        <v>198</v>
      </c>
      <c r="D110" s="36" t="s">
        <v>489</v>
      </c>
      <c r="E110" s="36" t="s">
        <v>217</v>
      </c>
      <c r="F110" s="36" t="s">
        <v>218</v>
      </c>
      <c r="G110" s="37">
        <v>46244.0</v>
      </c>
      <c r="H110" s="38" t="s">
        <v>454</v>
      </c>
      <c r="I110" s="36"/>
      <c r="J110" s="39" t="str">
        <f t="shared" si="3"/>
        <v>0x09</v>
      </c>
      <c r="K110" s="40" t="str">
        <f t="shared" si="4"/>
        <v>0x00</v>
      </c>
      <c r="L110" s="40" t="str">
        <f t="shared" si="5"/>
        <v>0x4F</v>
      </c>
      <c r="M110" s="42">
        <v>5.0</v>
      </c>
      <c r="N110" s="42" t="str">
        <f t="shared" si="27"/>
        <v>0x0F</v>
      </c>
      <c r="O110" s="48" t="str">
        <f t="shared" si="28"/>
        <v>0xB3</v>
      </c>
      <c r="P110" s="48" t="str">
        <f t="shared" si="29"/>
        <v>0xA3</v>
      </c>
      <c r="Q110" s="48" t="str">
        <f t="shared" si="30"/>
        <v>0xAE</v>
      </c>
      <c r="R110" s="42"/>
      <c r="S110" s="48" t="str">
        <f t="shared" si="31"/>
        <v>0xAE</v>
      </c>
      <c r="T110" s="48" t="str">
        <f t="shared" si="32"/>
        <v>0xA3</v>
      </c>
      <c r="U110" s="48"/>
      <c r="V110" s="49"/>
      <c r="W110" s="49"/>
      <c r="X110" s="49"/>
      <c r="Y110" s="49"/>
      <c r="Z110" s="49"/>
      <c r="AA110" s="49"/>
      <c r="AB110" s="49"/>
      <c r="AC110" s="49"/>
      <c r="AD110" s="49"/>
      <c r="AE110" s="49"/>
      <c r="AF110" s="49"/>
      <c r="AG110" s="49"/>
      <c r="AH110" s="49"/>
      <c r="AI110" s="49"/>
      <c r="AJ110" s="49"/>
      <c r="AK110" s="49"/>
      <c r="AL110" s="49"/>
      <c r="AM110" s="49"/>
      <c r="AN110" s="64" t="str">
        <f t="shared" si="33"/>
        <v>0xB0</v>
      </c>
    </row>
    <row r="111" hidden="1">
      <c r="A111" s="51" t="str">
        <f t="shared" si="2"/>
        <v>E909</v>
      </c>
      <c r="B111" s="52" t="str">
        <f>IFERROR(__xludf.DUMMYFUNCTION("REGEXREPLACE($H111, ""(?i)^8301(E000|E100|E200|E300)?"", """")"),"E90900520FB9B1B6B1B6B0")</f>
        <v>E90900520FB9B1B6B1B6B0</v>
      </c>
      <c r="C111" s="65" t="s">
        <v>198</v>
      </c>
      <c r="D111" s="65" t="s">
        <v>489</v>
      </c>
      <c r="E111" s="65" t="s">
        <v>106</v>
      </c>
      <c r="F111" s="65" t="s">
        <v>175</v>
      </c>
      <c r="G111" s="67">
        <v>46220.0</v>
      </c>
      <c r="H111" s="68" t="s">
        <v>230</v>
      </c>
      <c r="I111" s="53"/>
      <c r="J111" s="57" t="str">
        <f t="shared" si="3"/>
        <v>0x09</v>
      </c>
      <c r="K111" s="58" t="str">
        <f t="shared" si="4"/>
        <v>0x00</v>
      </c>
      <c r="L111" s="58" t="str">
        <f t="shared" si="5"/>
        <v>0x52</v>
      </c>
      <c r="M111" s="59">
        <v>5.0</v>
      </c>
      <c r="N111" s="59" t="str">
        <f t="shared" si="27"/>
        <v>0x0F</v>
      </c>
      <c r="O111" s="71" t="str">
        <f t="shared" si="28"/>
        <v>0xB9</v>
      </c>
      <c r="P111" s="71" t="str">
        <f t="shared" si="29"/>
        <v>0xB1</v>
      </c>
      <c r="Q111" s="71" t="str">
        <f t="shared" si="30"/>
        <v>0xB6</v>
      </c>
      <c r="R111" s="59"/>
      <c r="S111" s="71" t="str">
        <f t="shared" si="31"/>
        <v>0xB1</v>
      </c>
      <c r="T111" s="71" t="str">
        <f t="shared" si="32"/>
        <v>0xB6</v>
      </c>
      <c r="U111" s="71"/>
      <c r="V111" s="63"/>
      <c r="W111" s="63"/>
      <c r="X111" s="63"/>
      <c r="Y111" s="63"/>
      <c r="Z111" s="63"/>
      <c r="AA111" s="63"/>
      <c r="AB111" s="63"/>
      <c r="AC111" s="63"/>
      <c r="AD111" s="63"/>
      <c r="AE111" s="63"/>
      <c r="AF111" s="63"/>
      <c r="AG111" s="63"/>
      <c r="AH111" s="63"/>
      <c r="AI111" s="63"/>
      <c r="AJ111" s="63"/>
      <c r="AK111" s="63"/>
      <c r="AL111" s="63"/>
      <c r="AM111" s="63"/>
      <c r="AN111" s="74" t="str">
        <f t="shared" si="33"/>
        <v>0xB0</v>
      </c>
    </row>
    <row r="112" hidden="1">
      <c r="A112" s="33" t="str">
        <f t="shared" si="2"/>
        <v>E909</v>
      </c>
      <c r="B112" s="34" t="str">
        <f>IFERROR(__xludf.DUMMYFUNCTION("REGEXREPLACE($H112, ""(?i)^8301(E000|E100|E200|E300)?"", """")"),"E909005A0FA1A4B5B5A4B0")</f>
        <v>E909005A0FA1A4B5B5A4B0</v>
      </c>
      <c r="C112" s="36" t="s">
        <v>198</v>
      </c>
      <c r="D112" s="36" t="s">
        <v>489</v>
      </c>
      <c r="E112" s="36" t="s">
        <v>75</v>
      </c>
      <c r="F112" s="36" t="s">
        <v>120</v>
      </c>
      <c r="G112" s="37">
        <v>46219.0</v>
      </c>
      <c r="H112" s="38" t="s">
        <v>231</v>
      </c>
      <c r="I112" s="35"/>
      <c r="J112" s="39" t="str">
        <f t="shared" si="3"/>
        <v>0x09</v>
      </c>
      <c r="K112" s="40" t="str">
        <f t="shared" si="4"/>
        <v>0x00</v>
      </c>
      <c r="L112" s="40" t="str">
        <f t="shared" si="5"/>
        <v>0x5A</v>
      </c>
      <c r="M112" s="42">
        <v>5.0</v>
      </c>
      <c r="N112" s="42" t="str">
        <f t="shared" si="27"/>
        <v>0x0F</v>
      </c>
      <c r="O112" s="48" t="str">
        <f t="shared" si="28"/>
        <v>0xA1</v>
      </c>
      <c r="P112" s="48" t="str">
        <f t="shared" si="29"/>
        <v>0xA4</v>
      </c>
      <c r="Q112" s="48" t="str">
        <f t="shared" si="30"/>
        <v>0xB5</v>
      </c>
      <c r="R112" s="42"/>
      <c r="S112" s="48" t="str">
        <f t="shared" si="31"/>
        <v>0xB5</v>
      </c>
      <c r="T112" s="48" t="str">
        <f t="shared" si="32"/>
        <v>0xA4</v>
      </c>
      <c r="U112" s="48"/>
      <c r="V112" s="49"/>
      <c r="W112" s="49"/>
      <c r="X112" s="49"/>
      <c r="Y112" s="49"/>
      <c r="Z112" s="49"/>
      <c r="AA112" s="49"/>
      <c r="AB112" s="49"/>
      <c r="AC112" s="49"/>
      <c r="AD112" s="49"/>
      <c r="AE112" s="49"/>
      <c r="AF112" s="49"/>
      <c r="AG112" s="49"/>
      <c r="AH112" s="49"/>
      <c r="AI112" s="49"/>
      <c r="AJ112" s="49"/>
      <c r="AK112" s="49"/>
      <c r="AL112" s="49"/>
      <c r="AM112" s="49"/>
      <c r="AN112" s="64" t="str">
        <f t="shared" si="33"/>
        <v>0xB0</v>
      </c>
    </row>
    <row r="113" hidden="1">
      <c r="A113" s="51" t="str">
        <f t="shared" si="2"/>
        <v>E909</v>
      </c>
      <c r="B113" s="52" t="str">
        <f>IFERROR(__xludf.DUMMYFUNCTION("REGEXREPLACE($H113, ""(?i)^8301(E000|E100|E200|E300)?"", """")"),"E909005F0FA7B9B9B9B9B0")</f>
        <v>E909005F0FA7B9B9B9B9B0</v>
      </c>
      <c r="C113" s="65" t="s">
        <v>198</v>
      </c>
      <c r="D113" s="65" t="s">
        <v>489</v>
      </c>
      <c r="E113" s="65" t="s">
        <v>75</v>
      </c>
      <c r="F113" s="65" t="s">
        <v>120</v>
      </c>
      <c r="G113" s="67">
        <v>46219.0</v>
      </c>
      <c r="H113" s="68" t="s">
        <v>232</v>
      </c>
      <c r="I113" s="53"/>
      <c r="J113" s="57" t="str">
        <f t="shared" si="3"/>
        <v>0x09</v>
      </c>
      <c r="K113" s="58" t="str">
        <f t="shared" si="4"/>
        <v>0x00</v>
      </c>
      <c r="L113" s="58" t="str">
        <f t="shared" si="5"/>
        <v>0x5F</v>
      </c>
      <c r="M113" s="59">
        <v>5.0</v>
      </c>
      <c r="N113" s="59" t="str">
        <f t="shared" si="27"/>
        <v>0x0F</v>
      </c>
      <c r="O113" s="71" t="str">
        <f t="shared" si="28"/>
        <v>0xA7</v>
      </c>
      <c r="P113" s="71" t="str">
        <f t="shared" si="29"/>
        <v>0xB9</v>
      </c>
      <c r="Q113" s="71" t="str">
        <f t="shared" si="30"/>
        <v>0xB9</v>
      </c>
      <c r="R113" s="59"/>
      <c r="S113" s="71" t="str">
        <f t="shared" si="31"/>
        <v>0xB9</v>
      </c>
      <c r="T113" s="71" t="str">
        <f t="shared" si="32"/>
        <v>0xB9</v>
      </c>
      <c r="U113" s="71"/>
      <c r="V113" s="63"/>
      <c r="W113" s="63"/>
      <c r="X113" s="63"/>
      <c r="Y113" s="63"/>
      <c r="Z113" s="63"/>
      <c r="AA113" s="63"/>
      <c r="AB113" s="63"/>
      <c r="AC113" s="63"/>
      <c r="AD113" s="63"/>
      <c r="AE113" s="63"/>
      <c r="AF113" s="63"/>
      <c r="AG113" s="63"/>
      <c r="AH113" s="63"/>
      <c r="AI113" s="63"/>
      <c r="AJ113" s="63"/>
      <c r="AK113" s="63"/>
      <c r="AL113" s="63"/>
      <c r="AM113" s="63"/>
      <c r="AN113" s="74" t="str">
        <f t="shared" si="33"/>
        <v>0xB0</v>
      </c>
    </row>
    <row r="114" hidden="1">
      <c r="A114" s="33" t="str">
        <f t="shared" si="2"/>
        <v>E909</v>
      </c>
      <c r="B114" s="34" t="str">
        <f>IFERROR(__xludf.DUMMYFUNCTION("REGEXREPLACE($H114, ""(?i)^8301(E000|E100|E200|E300)?"", """")"),"E909005F0FB4A4A4AEAEB0")</f>
        <v>E909005F0FB4A4A4AEAEB0</v>
      </c>
      <c r="C114" s="36" t="s">
        <v>198</v>
      </c>
      <c r="D114" s="36" t="s">
        <v>489</v>
      </c>
      <c r="E114" s="36" t="s">
        <v>75</v>
      </c>
      <c r="F114" s="36" t="s">
        <v>120</v>
      </c>
      <c r="G114" s="37">
        <v>46219.0</v>
      </c>
      <c r="H114" s="38" t="s">
        <v>234</v>
      </c>
      <c r="I114" s="35"/>
      <c r="J114" s="39" t="str">
        <f t="shared" si="3"/>
        <v>0x09</v>
      </c>
      <c r="K114" s="40" t="str">
        <f t="shared" si="4"/>
        <v>0x00</v>
      </c>
      <c r="L114" s="40" t="str">
        <f t="shared" si="5"/>
        <v>0x5F</v>
      </c>
      <c r="M114" s="42">
        <v>5.0</v>
      </c>
      <c r="N114" s="42" t="str">
        <f t="shared" si="27"/>
        <v>0x0F</v>
      </c>
      <c r="O114" s="48" t="str">
        <f t="shared" si="28"/>
        <v>0xB4</v>
      </c>
      <c r="P114" s="48" t="str">
        <f t="shared" si="29"/>
        <v>0xA4</v>
      </c>
      <c r="Q114" s="48" t="str">
        <f t="shared" si="30"/>
        <v>0xA4</v>
      </c>
      <c r="R114" s="42"/>
      <c r="S114" s="48" t="str">
        <f t="shared" si="31"/>
        <v>0xAE</v>
      </c>
      <c r="T114" s="48" t="str">
        <f t="shared" si="32"/>
        <v>0xAE</v>
      </c>
      <c r="U114" s="48"/>
      <c r="V114" s="49"/>
      <c r="W114" s="49"/>
      <c r="X114" s="49"/>
      <c r="Y114" s="49"/>
      <c r="Z114" s="49"/>
      <c r="AA114" s="49"/>
      <c r="AB114" s="49"/>
      <c r="AC114" s="49"/>
      <c r="AD114" s="49"/>
      <c r="AE114" s="49"/>
      <c r="AF114" s="49"/>
      <c r="AG114" s="49"/>
      <c r="AH114" s="49"/>
      <c r="AI114" s="49"/>
      <c r="AJ114" s="49"/>
      <c r="AK114" s="49"/>
      <c r="AL114" s="49"/>
      <c r="AM114" s="49"/>
      <c r="AN114" s="64" t="str">
        <f t="shared" si="33"/>
        <v>0xB0</v>
      </c>
    </row>
    <row r="115" hidden="1">
      <c r="A115" s="51" t="str">
        <f t="shared" si="2"/>
        <v>E909</v>
      </c>
      <c r="B115" s="52" t="str">
        <f>IFERROR(__xludf.DUMMYFUNCTION("REGEXREPLACE($H115, ""(?i)^8301(E000|E100|E200|E300)?"", """")"),"E90900650FAFA7A1A1A7B0")</f>
        <v>E90900650FAFA7A1A1A7B0</v>
      </c>
      <c r="C115" s="65" t="s">
        <v>198</v>
      </c>
      <c r="D115" s="65" t="s">
        <v>489</v>
      </c>
      <c r="E115" s="65" t="s">
        <v>75</v>
      </c>
      <c r="F115" s="65" t="s">
        <v>120</v>
      </c>
      <c r="G115" s="67">
        <v>46219.0</v>
      </c>
      <c r="H115" s="68" t="s">
        <v>235</v>
      </c>
      <c r="I115" s="53"/>
      <c r="J115" s="57" t="str">
        <f t="shared" si="3"/>
        <v>0x09</v>
      </c>
      <c r="K115" s="58" t="str">
        <f t="shared" si="4"/>
        <v>0x00</v>
      </c>
      <c r="L115" s="58" t="str">
        <f t="shared" si="5"/>
        <v>0x65</v>
      </c>
      <c r="M115" s="59">
        <v>5.0</v>
      </c>
      <c r="N115" s="59" t="str">
        <f t="shared" si="27"/>
        <v>0x0F</v>
      </c>
      <c r="O115" s="71" t="str">
        <f t="shared" si="28"/>
        <v>0xAF</v>
      </c>
      <c r="P115" s="71" t="str">
        <f t="shared" si="29"/>
        <v>0xA7</v>
      </c>
      <c r="Q115" s="71" t="str">
        <f t="shared" si="30"/>
        <v>0xA1</v>
      </c>
      <c r="R115" s="59"/>
      <c r="S115" s="71" t="str">
        <f t="shared" si="31"/>
        <v>0xA1</v>
      </c>
      <c r="T115" s="71" t="str">
        <f t="shared" si="32"/>
        <v>0xA7</v>
      </c>
      <c r="U115" s="71"/>
      <c r="V115" s="63"/>
      <c r="W115" s="63"/>
      <c r="X115" s="63"/>
      <c r="Y115" s="63"/>
      <c r="Z115" s="63"/>
      <c r="AA115" s="63"/>
      <c r="AB115" s="63"/>
      <c r="AC115" s="63"/>
      <c r="AD115" s="63"/>
      <c r="AE115" s="63"/>
      <c r="AF115" s="63"/>
      <c r="AG115" s="63"/>
      <c r="AH115" s="63"/>
      <c r="AI115" s="63"/>
      <c r="AJ115" s="63"/>
      <c r="AK115" s="63"/>
      <c r="AL115" s="63"/>
      <c r="AM115" s="63"/>
      <c r="AN115" s="74" t="str">
        <f t="shared" si="33"/>
        <v>0xB0</v>
      </c>
    </row>
    <row r="116" hidden="1">
      <c r="A116" s="33" t="str">
        <f t="shared" si="2"/>
        <v>E909</v>
      </c>
      <c r="B116" s="34" t="str">
        <f>IFERROR(__xludf.DUMMYFUNCTION("REGEXREPLACE($H116, ""(?i)^8301(E000|E100|E200|E300)?"", """")"),"E90900650FBBB5A4A4B5BA")</f>
        <v>E90900650FBBB5A4A4B5BA</v>
      </c>
      <c r="C116" s="36" t="s">
        <v>198</v>
      </c>
      <c r="D116" s="36" t="s">
        <v>489</v>
      </c>
      <c r="E116" s="36" t="s">
        <v>75</v>
      </c>
      <c r="F116" s="36" t="s">
        <v>143</v>
      </c>
      <c r="G116" s="37">
        <v>46208.0</v>
      </c>
      <c r="H116" s="38" t="s">
        <v>237</v>
      </c>
      <c r="I116" s="35"/>
      <c r="J116" s="39" t="str">
        <f t="shared" si="3"/>
        <v>0x09</v>
      </c>
      <c r="K116" s="40" t="str">
        <f t="shared" si="4"/>
        <v>0x00</v>
      </c>
      <c r="L116" s="40" t="str">
        <f t="shared" si="5"/>
        <v>0x65</v>
      </c>
      <c r="M116" s="42">
        <v>5.0</v>
      </c>
      <c r="N116" s="42" t="str">
        <f t="shared" si="27"/>
        <v>0x0F</v>
      </c>
      <c r="O116" s="48" t="str">
        <f t="shared" si="28"/>
        <v>0xBB</v>
      </c>
      <c r="P116" s="48" t="str">
        <f t="shared" si="29"/>
        <v>0xB5</v>
      </c>
      <c r="Q116" s="48" t="str">
        <f t="shared" si="30"/>
        <v>0xA4</v>
      </c>
      <c r="R116" s="42"/>
      <c r="S116" s="48" t="str">
        <f t="shared" si="31"/>
        <v>0xA4</v>
      </c>
      <c r="T116" s="48" t="str">
        <f t="shared" si="32"/>
        <v>0xB5</v>
      </c>
      <c r="U116" s="48"/>
      <c r="V116" s="49"/>
      <c r="W116" s="49"/>
      <c r="X116" s="49"/>
      <c r="Y116" s="49"/>
      <c r="Z116" s="49"/>
      <c r="AA116" s="49"/>
      <c r="AB116" s="49"/>
      <c r="AC116" s="49"/>
      <c r="AD116" s="49"/>
      <c r="AE116" s="49"/>
      <c r="AF116" s="49"/>
      <c r="AG116" s="49"/>
      <c r="AH116" s="49"/>
      <c r="AI116" s="49"/>
      <c r="AJ116" s="49"/>
      <c r="AK116" s="49"/>
      <c r="AL116" s="49"/>
      <c r="AM116" s="49"/>
      <c r="AN116" s="64" t="str">
        <f t="shared" si="33"/>
        <v>0xBA</v>
      </c>
    </row>
    <row r="117" hidden="1">
      <c r="A117" s="51" t="str">
        <f t="shared" si="2"/>
        <v>E909</v>
      </c>
      <c r="B117" s="52" t="str">
        <f>IFERROR(__xludf.DUMMYFUNCTION("REGEXREPLACE($H117, ""(?i)^8301(E000|E100|E200|E300)?"", """")"),"E90900680FA1A3A7A7A3B0")</f>
        <v>E90900680FA1A3A7A7A3B0</v>
      </c>
      <c r="C117" s="65" t="s">
        <v>198</v>
      </c>
      <c r="D117" s="65" t="s">
        <v>489</v>
      </c>
      <c r="E117" s="65" t="s">
        <v>75</v>
      </c>
      <c r="F117" s="65" t="s">
        <v>120</v>
      </c>
      <c r="G117" s="67">
        <v>46219.0</v>
      </c>
      <c r="H117" s="68" t="s">
        <v>238</v>
      </c>
      <c r="I117" s="53"/>
      <c r="J117" s="57" t="str">
        <f t="shared" si="3"/>
        <v>0x09</v>
      </c>
      <c r="K117" s="58" t="str">
        <f t="shared" si="4"/>
        <v>0x00</v>
      </c>
      <c r="L117" s="58" t="str">
        <f t="shared" si="5"/>
        <v>0x68</v>
      </c>
      <c r="M117" s="59">
        <v>5.0</v>
      </c>
      <c r="N117" s="59" t="str">
        <f t="shared" si="27"/>
        <v>0x0F</v>
      </c>
      <c r="O117" s="71" t="str">
        <f t="shared" si="28"/>
        <v>0xA1</v>
      </c>
      <c r="P117" s="71" t="str">
        <f t="shared" si="29"/>
        <v>0xA3</v>
      </c>
      <c r="Q117" s="71" t="str">
        <f t="shared" si="30"/>
        <v>0xA7</v>
      </c>
      <c r="R117" s="59"/>
      <c r="S117" s="71" t="str">
        <f t="shared" si="31"/>
        <v>0xA7</v>
      </c>
      <c r="T117" s="71" t="str">
        <f t="shared" si="32"/>
        <v>0xA3</v>
      </c>
      <c r="U117" s="71"/>
      <c r="V117" s="63"/>
      <c r="W117" s="63"/>
      <c r="X117" s="63"/>
      <c r="Y117" s="63"/>
      <c r="Z117" s="63"/>
      <c r="AA117" s="63"/>
      <c r="AB117" s="63"/>
      <c r="AC117" s="63"/>
      <c r="AD117" s="63"/>
      <c r="AE117" s="63"/>
      <c r="AF117" s="63"/>
      <c r="AG117" s="63"/>
      <c r="AH117" s="63"/>
      <c r="AI117" s="63"/>
      <c r="AJ117" s="63"/>
      <c r="AK117" s="63"/>
      <c r="AL117" s="63"/>
      <c r="AM117" s="63"/>
      <c r="AN117" s="74" t="str">
        <f t="shared" si="33"/>
        <v>0xB0</v>
      </c>
    </row>
    <row r="118" hidden="1">
      <c r="A118" s="33" t="str">
        <f t="shared" si="2"/>
        <v>E909</v>
      </c>
      <c r="B118" s="34" t="str">
        <f>IFERROR(__xludf.DUMMYFUNCTION("REGEXREPLACE($H118, ""(?i)^8301(E000|E100|E200|E300)?"", """")"),"E909007D0FA2B1B1B1B1B0")</f>
        <v>E909007D0FA2B1B1B1B1B0</v>
      </c>
      <c r="C118" s="36" t="s">
        <v>198</v>
      </c>
      <c r="D118" s="36" t="s">
        <v>489</v>
      </c>
      <c r="E118" s="36" t="s">
        <v>75</v>
      </c>
      <c r="F118" s="36" t="s">
        <v>120</v>
      </c>
      <c r="G118" s="37">
        <v>46219.0</v>
      </c>
      <c r="H118" s="38" t="s">
        <v>239</v>
      </c>
      <c r="I118" s="35"/>
      <c r="J118" s="39" t="str">
        <f t="shared" si="3"/>
        <v>0x09</v>
      </c>
      <c r="K118" s="40" t="str">
        <f t="shared" si="4"/>
        <v>0x00</v>
      </c>
      <c r="L118" s="40" t="str">
        <f t="shared" si="5"/>
        <v>0x7D</v>
      </c>
      <c r="M118" s="42">
        <v>5.0</v>
      </c>
      <c r="N118" s="42" t="str">
        <f t="shared" si="27"/>
        <v>0x0F</v>
      </c>
      <c r="O118" s="48" t="str">
        <f t="shared" si="28"/>
        <v>0xA2</v>
      </c>
      <c r="P118" s="48" t="str">
        <f t="shared" si="29"/>
        <v>0xB1</v>
      </c>
      <c r="Q118" s="48" t="str">
        <f t="shared" si="30"/>
        <v>0xB1</v>
      </c>
      <c r="R118" s="42"/>
      <c r="S118" s="48" t="str">
        <f t="shared" si="31"/>
        <v>0xB1</v>
      </c>
      <c r="T118" s="48" t="str">
        <f t="shared" si="32"/>
        <v>0xB1</v>
      </c>
      <c r="U118" s="48"/>
      <c r="V118" s="49"/>
      <c r="W118" s="49"/>
      <c r="X118" s="49"/>
      <c r="Y118" s="49"/>
      <c r="Z118" s="49"/>
      <c r="AA118" s="49"/>
      <c r="AB118" s="49"/>
      <c r="AC118" s="49"/>
      <c r="AD118" s="49"/>
      <c r="AE118" s="49"/>
      <c r="AF118" s="49"/>
      <c r="AG118" s="49"/>
      <c r="AH118" s="49"/>
      <c r="AI118" s="49"/>
      <c r="AJ118" s="49"/>
      <c r="AK118" s="49"/>
      <c r="AL118" s="49"/>
      <c r="AM118" s="49"/>
      <c r="AN118" s="64" t="str">
        <f t="shared" si="33"/>
        <v>0xB0</v>
      </c>
    </row>
    <row r="119" hidden="1">
      <c r="A119" s="51" t="str">
        <f t="shared" si="2"/>
        <v>E909</v>
      </c>
      <c r="B119" s="52" t="str">
        <f>IFERROR(__xludf.DUMMYFUNCTION("REGEXREPLACE($H119, ""(?i)^8301(E000|E100|E200|E300)?"", """")"),"E90900820FAFB9ADB3A8B0")</f>
        <v>E90900820FAFB9ADB3A8B0</v>
      </c>
      <c r="C119" s="65" t="s">
        <v>198</v>
      </c>
      <c r="D119" s="65" t="s">
        <v>489</v>
      </c>
      <c r="E119" s="65" t="s">
        <v>129</v>
      </c>
      <c r="F119" s="65" t="s">
        <v>137</v>
      </c>
      <c r="G119" s="67">
        <v>46207.0</v>
      </c>
      <c r="H119" s="56" t="s">
        <v>240</v>
      </c>
      <c r="I119" s="53"/>
      <c r="J119" s="57" t="str">
        <f t="shared" si="3"/>
        <v>0x09</v>
      </c>
      <c r="K119" s="58" t="str">
        <f t="shared" si="4"/>
        <v>0x00</v>
      </c>
      <c r="L119" s="58" t="str">
        <f t="shared" si="5"/>
        <v>0x82</v>
      </c>
      <c r="M119" s="59">
        <v>5.0</v>
      </c>
      <c r="N119" s="59" t="str">
        <f t="shared" si="27"/>
        <v>0x0F</v>
      </c>
      <c r="O119" s="71" t="str">
        <f t="shared" si="28"/>
        <v>0xAF</v>
      </c>
      <c r="P119" s="71" t="str">
        <f t="shared" si="29"/>
        <v>0xB9</v>
      </c>
      <c r="Q119" s="71" t="str">
        <f t="shared" si="30"/>
        <v>0xAD</v>
      </c>
      <c r="R119" s="59"/>
      <c r="S119" s="71" t="str">
        <f t="shared" si="31"/>
        <v>0xB3</v>
      </c>
      <c r="T119" s="71" t="str">
        <f t="shared" si="32"/>
        <v>0xA8</v>
      </c>
      <c r="U119" s="71"/>
      <c r="V119" s="63"/>
      <c r="W119" s="63"/>
      <c r="X119" s="63"/>
      <c r="Y119" s="63"/>
      <c r="Z119" s="63"/>
      <c r="AA119" s="63"/>
      <c r="AB119" s="63"/>
      <c r="AC119" s="63"/>
      <c r="AD119" s="63"/>
      <c r="AE119" s="63"/>
      <c r="AF119" s="63"/>
      <c r="AG119" s="63"/>
      <c r="AH119" s="63"/>
      <c r="AI119" s="63"/>
      <c r="AJ119" s="63"/>
      <c r="AK119" s="63"/>
      <c r="AL119" s="63"/>
      <c r="AM119" s="63"/>
      <c r="AN119" s="74" t="str">
        <f t="shared" si="33"/>
        <v>0xB0</v>
      </c>
    </row>
    <row r="120">
      <c r="A120" s="33" t="str">
        <f t="shared" si="2"/>
        <v>E909</v>
      </c>
      <c r="B120" s="34" t="str">
        <f>IFERROR(__xludf.DUMMYFUNCTION("REGEXREPLACE($H120, ""(?i)^8301(E000|E100|E200|E300)?"", """")"),"E90900A80FAFB4B0B0B4BA")</f>
        <v>E90900A80FAFB4B0B0B4BA</v>
      </c>
      <c r="C120" s="36" t="s">
        <v>198</v>
      </c>
      <c r="D120" s="36" t="s">
        <v>489</v>
      </c>
      <c r="E120" s="36" t="s">
        <v>217</v>
      </c>
      <c r="F120" s="36" t="s">
        <v>218</v>
      </c>
      <c r="G120" s="37">
        <v>46244.0</v>
      </c>
      <c r="H120" s="38" t="s">
        <v>469</v>
      </c>
      <c r="I120" s="36"/>
      <c r="J120" s="39" t="str">
        <f t="shared" si="3"/>
        <v>0x09</v>
      </c>
      <c r="K120" s="40" t="str">
        <f t="shared" si="4"/>
        <v>0x00</v>
      </c>
      <c r="L120" s="40" t="str">
        <f t="shared" si="5"/>
        <v>0xA8</v>
      </c>
      <c r="M120" s="42">
        <v>5.0</v>
      </c>
      <c r="N120" s="42" t="str">
        <f t="shared" si="27"/>
        <v>0x0F</v>
      </c>
      <c r="O120" s="48" t="str">
        <f t="shared" si="28"/>
        <v>0xAF</v>
      </c>
      <c r="P120" s="48" t="str">
        <f t="shared" si="29"/>
        <v>0xB4</v>
      </c>
      <c r="Q120" s="48" t="str">
        <f t="shared" si="30"/>
        <v>0xB0</v>
      </c>
      <c r="R120" s="42"/>
      <c r="S120" s="48" t="str">
        <f t="shared" si="31"/>
        <v>0xB0</v>
      </c>
      <c r="T120" s="48" t="str">
        <f t="shared" si="32"/>
        <v>0xB4</v>
      </c>
      <c r="U120" s="48"/>
      <c r="V120" s="49"/>
      <c r="W120" s="49"/>
      <c r="X120" s="49"/>
      <c r="Y120" s="49"/>
      <c r="Z120" s="49"/>
      <c r="AA120" s="49"/>
      <c r="AB120" s="49"/>
      <c r="AC120" s="49"/>
      <c r="AD120" s="49"/>
      <c r="AE120" s="49"/>
      <c r="AF120" s="49"/>
      <c r="AG120" s="49"/>
      <c r="AH120" s="49"/>
      <c r="AI120" s="49"/>
      <c r="AJ120" s="49"/>
      <c r="AK120" s="49"/>
      <c r="AL120" s="49"/>
      <c r="AM120" s="49"/>
      <c r="AN120" s="64" t="str">
        <f t="shared" si="33"/>
        <v>0xBA</v>
      </c>
    </row>
    <row r="121" hidden="1">
      <c r="A121" s="51" t="str">
        <f t="shared" si="2"/>
        <v>E909</v>
      </c>
      <c r="B121" s="52" t="str">
        <f>IFERROR(__xludf.DUMMYFUNCTION("REGEXREPLACE($H121, ""(?i)^8301(E000|E100|E200|E300)?"", """")"),"E90900BA0FBBB3B9A2B5B0")</f>
        <v>E90900BA0FBBB3B9A2B5B0</v>
      </c>
      <c r="C121" s="65" t="s">
        <v>198</v>
      </c>
      <c r="D121" s="65" t="s">
        <v>489</v>
      </c>
      <c r="E121" s="65" t="s">
        <v>106</v>
      </c>
      <c r="F121" s="65" t="s">
        <v>175</v>
      </c>
      <c r="G121" s="67">
        <v>46220.0</v>
      </c>
      <c r="H121" s="68" t="s">
        <v>241</v>
      </c>
      <c r="I121" s="53"/>
      <c r="J121" s="57" t="str">
        <f t="shared" si="3"/>
        <v>0x09</v>
      </c>
      <c r="K121" s="58" t="str">
        <f t="shared" si="4"/>
        <v>0x00</v>
      </c>
      <c r="L121" s="58" t="str">
        <f t="shared" si="5"/>
        <v>0xBA</v>
      </c>
      <c r="M121" s="59">
        <v>5.0</v>
      </c>
      <c r="N121" s="59" t="str">
        <f t="shared" si="27"/>
        <v>0x0F</v>
      </c>
      <c r="O121" s="71" t="str">
        <f t="shared" si="28"/>
        <v>0xBB</v>
      </c>
      <c r="P121" s="71" t="str">
        <f t="shared" si="29"/>
        <v>0xB3</v>
      </c>
      <c r="Q121" s="71" t="str">
        <f t="shared" si="30"/>
        <v>0xB9</v>
      </c>
      <c r="R121" s="59"/>
      <c r="S121" s="71" t="str">
        <f t="shared" si="31"/>
        <v>0xA2</v>
      </c>
      <c r="T121" s="71" t="str">
        <f t="shared" si="32"/>
        <v>0xB5</v>
      </c>
      <c r="U121" s="71"/>
      <c r="V121" s="63"/>
      <c r="W121" s="63"/>
      <c r="X121" s="63"/>
      <c r="Y121" s="63"/>
      <c r="Z121" s="63"/>
      <c r="AA121" s="63"/>
      <c r="AB121" s="63"/>
      <c r="AC121" s="63"/>
      <c r="AD121" s="63"/>
      <c r="AE121" s="63"/>
      <c r="AF121" s="63"/>
      <c r="AG121" s="63"/>
      <c r="AH121" s="63"/>
      <c r="AI121" s="63"/>
      <c r="AJ121" s="63"/>
      <c r="AK121" s="63"/>
      <c r="AL121" s="63"/>
      <c r="AM121" s="63"/>
      <c r="AN121" s="74" t="str">
        <f t="shared" si="33"/>
        <v>0xB0</v>
      </c>
    </row>
    <row r="122" hidden="1">
      <c r="A122" s="33" t="str">
        <f t="shared" si="2"/>
        <v>E909</v>
      </c>
      <c r="B122" s="34" t="str">
        <f>IFERROR(__xludf.DUMMYFUNCTION("REGEXREPLACE($H122, ""(?i)^8301(E000|E100|E200|E300)?"", """")"),"E90900EF0FAFA7A1A1A7B0")</f>
        <v>E90900EF0FAFA7A1A1A7B0</v>
      </c>
      <c r="C122" s="36" t="s">
        <v>198</v>
      </c>
      <c r="D122" s="36" t="s">
        <v>489</v>
      </c>
      <c r="E122" s="36" t="s">
        <v>75</v>
      </c>
      <c r="F122" s="36" t="s">
        <v>120</v>
      </c>
      <c r="G122" s="37">
        <v>46219.0</v>
      </c>
      <c r="H122" s="38" t="s">
        <v>242</v>
      </c>
      <c r="I122" s="35"/>
      <c r="J122" s="39" t="str">
        <f t="shared" si="3"/>
        <v>0x09</v>
      </c>
      <c r="K122" s="40" t="str">
        <f t="shared" si="4"/>
        <v>0x00</v>
      </c>
      <c r="L122" s="40" t="str">
        <f t="shared" si="5"/>
        <v>0xEF</v>
      </c>
      <c r="M122" s="42">
        <v>5.0</v>
      </c>
      <c r="N122" s="42" t="str">
        <f t="shared" si="27"/>
        <v>0x0F</v>
      </c>
      <c r="O122" s="48" t="str">
        <f t="shared" si="28"/>
        <v>0xAF</v>
      </c>
      <c r="P122" s="48" t="str">
        <f t="shared" si="29"/>
        <v>0xA7</v>
      </c>
      <c r="Q122" s="48" t="str">
        <f t="shared" si="30"/>
        <v>0xA1</v>
      </c>
      <c r="R122" s="42"/>
      <c r="S122" s="48" t="str">
        <f t="shared" si="31"/>
        <v>0xA1</v>
      </c>
      <c r="T122" s="48" t="str">
        <f t="shared" si="32"/>
        <v>0xA7</v>
      </c>
      <c r="U122" s="48"/>
      <c r="V122" s="49"/>
      <c r="W122" s="49"/>
      <c r="X122" s="49"/>
      <c r="Y122" s="49"/>
      <c r="Z122" s="49"/>
      <c r="AA122" s="49"/>
      <c r="AB122" s="49"/>
      <c r="AC122" s="49"/>
      <c r="AD122" s="49"/>
      <c r="AE122" s="49"/>
      <c r="AF122" s="49"/>
      <c r="AG122" s="49"/>
      <c r="AH122" s="49"/>
      <c r="AI122" s="49"/>
      <c r="AJ122" s="49"/>
      <c r="AK122" s="49"/>
      <c r="AL122" s="49"/>
      <c r="AM122" s="49"/>
      <c r="AN122" s="64" t="str">
        <f t="shared" si="33"/>
        <v>0xB0</v>
      </c>
    </row>
    <row r="123" hidden="1">
      <c r="A123" s="51" t="str">
        <f t="shared" si="2"/>
        <v>E909</v>
      </c>
      <c r="B123" s="52" t="str">
        <f>IFERROR(__xludf.DUMMYFUNCTION("REGEXREPLACE($H123, ""(?i)^8301(E000|E100|E200|E300)?"", """")"),"E90900FF0FBBB5A4A4B5BB")</f>
        <v>E90900FF0FBBB5A4A4B5BB</v>
      </c>
      <c r="C123" s="65" t="s">
        <v>198</v>
      </c>
      <c r="D123" s="65" t="s">
        <v>489</v>
      </c>
      <c r="E123" s="65" t="s">
        <v>75</v>
      </c>
      <c r="F123" s="65" t="s">
        <v>143</v>
      </c>
      <c r="G123" s="67">
        <v>46208.0</v>
      </c>
      <c r="H123" s="68" t="s">
        <v>243</v>
      </c>
      <c r="I123" s="53"/>
      <c r="J123" s="57" t="str">
        <f t="shared" si="3"/>
        <v>0x09</v>
      </c>
      <c r="K123" s="58" t="str">
        <f t="shared" si="4"/>
        <v>0x00</v>
      </c>
      <c r="L123" s="58" t="str">
        <f t="shared" si="5"/>
        <v>0xFF</v>
      </c>
      <c r="M123" s="59">
        <v>5.0</v>
      </c>
      <c r="N123" s="59" t="str">
        <f t="shared" si="27"/>
        <v>0x0F</v>
      </c>
      <c r="O123" s="71" t="str">
        <f t="shared" si="28"/>
        <v>0xBB</v>
      </c>
      <c r="P123" s="71" t="str">
        <f t="shared" si="29"/>
        <v>0xB5</v>
      </c>
      <c r="Q123" s="71" t="str">
        <f t="shared" si="30"/>
        <v>0xA4</v>
      </c>
      <c r="R123" s="59"/>
      <c r="S123" s="71" t="str">
        <f t="shared" si="31"/>
        <v>0xA4</v>
      </c>
      <c r="T123" s="71" t="str">
        <f t="shared" si="32"/>
        <v>0xB5</v>
      </c>
      <c r="U123" s="71"/>
      <c r="V123" s="63"/>
      <c r="W123" s="63"/>
      <c r="X123" s="63"/>
      <c r="Y123" s="63"/>
      <c r="Z123" s="63"/>
      <c r="AA123" s="63"/>
      <c r="AB123" s="63"/>
      <c r="AC123" s="63"/>
      <c r="AD123" s="63"/>
      <c r="AE123" s="63"/>
      <c r="AF123" s="63"/>
      <c r="AG123" s="63"/>
      <c r="AH123" s="63"/>
      <c r="AI123" s="63"/>
      <c r="AJ123" s="63"/>
      <c r="AK123" s="63"/>
      <c r="AL123" s="63"/>
      <c r="AM123" s="63"/>
      <c r="AN123" s="74" t="str">
        <f t="shared" si="33"/>
        <v>0xBB</v>
      </c>
    </row>
    <row r="124" hidden="1">
      <c r="A124" s="33" t="str">
        <f t="shared" si="2"/>
        <v>E90B</v>
      </c>
      <c r="B124" s="34" t="str">
        <f>IFERROR(__xludf.DUMMYFUNCTION("REGEXREPLACE($H124, ""(?i)^8301(E000|E100|E200|E300)?"", """")"),"E90B00680FAFB5AFB5BD307B02")</f>
        <v>E90B00680FAFB5AFB5BD307B02</v>
      </c>
      <c r="C124" s="36" t="s">
        <v>14</v>
      </c>
      <c r="D124" s="36" t="s">
        <v>118</v>
      </c>
      <c r="E124" s="36" t="s">
        <v>106</v>
      </c>
      <c r="F124" s="36" t="s">
        <v>107</v>
      </c>
      <c r="G124" s="37">
        <v>46220.0</v>
      </c>
      <c r="H124" s="38" t="s">
        <v>170</v>
      </c>
      <c r="I124" s="36"/>
      <c r="J124" s="39" t="str">
        <f t="shared" si="3"/>
        <v>0x0B</v>
      </c>
      <c r="K124" s="40" t="str">
        <f t="shared" si="4"/>
        <v>0x00</v>
      </c>
      <c r="L124" s="40" t="str">
        <f t="shared" si="5"/>
        <v>0x68</v>
      </c>
      <c r="M124" s="42">
        <v>5.0</v>
      </c>
      <c r="N124" s="42" t="str">
        <f t="shared" si="27"/>
        <v>0x0F</v>
      </c>
      <c r="O124" s="48" t="str">
        <f t="shared" si="28"/>
        <v>0xAF</v>
      </c>
      <c r="P124" s="48" t="str">
        <f t="shared" si="29"/>
        <v>0xB5</v>
      </c>
      <c r="Q124" s="48" t="str">
        <f t="shared" si="30"/>
        <v>0xAF</v>
      </c>
      <c r="R124" s="42"/>
      <c r="S124" s="48" t="str">
        <f t="shared" si="31"/>
        <v>0xB5</v>
      </c>
      <c r="T124" s="48" t="str">
        <f t="shared" si="32"/>
        <v>0xBD</v>
      </c>
      <c r="U124" s="48"/>
      <c r="V124" s="40">
        <v>21.0</v>
      </c>
      <c r="W124" s="47" t="str">
        <f t="shared" ref="W124:Y124" si="34">"0x" &amp; MID($B124,$V124  + 2*(COLUMN() - COLUMN($W124)), 2)</f>
        <v>0x30</v>
      </c>
      <c r="X124" s="47" t="str">
        <f t="shared" si="34"/>
        <v>0x7B</v>
      </c>
      <c r="Y124" s="47" t="str">
        <f t="shared" si="34"/>
        <v>0x02</v>
      </c>
      <c r="Z124" s="47"/>
      <c r="AA124" s="47"/>
      <c r="AB124" s="47"/>
      <c r="AC124" s="47"/>
      <c r="AD124" s="47"/>
      <c r="AE124" s="47"/>
      <c r="AF124" s="40"/>
      <c r="AG124" s="40"/>
      <c r="AH124" s="40"/>
      <c r="AI124" s="40"/>
      <c r="AJ124" s="40"/>
      <c r="AK124" s="40"/>
      <c r="AL124" s="40"/>
      <c r="AM124" s="40"/>
      <c r="AN124" s="75"/>
    </row>
    <row r="125" hidden="1">
      <c r="A125" s="51" t="str">
        <f t="shared" si="2"/>
        <v>E90C</v>
      </c>
      <c r="B125" s="52" t="str">
        <f>IFERROR(__xludf.DUMMYFUNCTION("REGEXREPLACE($H125, ""(?i)^8301(E000|E100|E200|E300)?"", """")"),"E90C00010F4D4D5A940200488BB0")</f>
        <v>E90C00010F4D4D5A940200488BB0</v>
      </c>
      <c r="C125" s="65" t="s">
        <v>30</v>
      </c>
      <c r="D125" s="53"/>
      <c r="E125" s="65" t="s">
        <v>106</v>
      </c>
      <c r="F125" s="65" t="s">
        <v>175</v>
      </c>
      <c r="G125" s="67">
        <v>46220.0</v>
      </c>
      <c r="H125" s="68" t="s">
        <v>246</v>
      </c>
      <c r="I125" s="65"/>
      <c r="J125" s="57" t="str">
        <f t="shared" si="3"/>
        <v>0x0C</v>
      </c>
      <c r="K125" s="58" t="str">
        <f t="shared" si="4"/>
        <v>0x00</v>
      </c>
      <c r="L125" s="58" t="str">
        <f t="shared" si="5"/>
        <v>0x01</v>
      </c>
      <c r="M125" s="59">
        <v>2.0</v>
      </c>
      <c r="N125" s="59" t="str">
        <f t="shared" si="27"/>
        <v>0x0F</v>
      </c>
      <c r="O125" s="71" t="str">
        <f t="shared" si="28"/>
        <v>0x4D</v>
      </c>
      <c r="P125" s="71" t="str">
        <f t="shared" si="29"/>
        <v>0x4D</v>
      </c>
      <c r="Q125" s="60"/>
      <c r="R125" s="61"/>
      <c r="S125" s="60"/>
      <c r="T125" s="60"/>
      <c r="U125" s="60"/>
      <c r="V125" s="58">
        <v>15.0</v>
      </c>
      <c r="W125" s="62" t="str">
        <f t="shared" ref="W125:AB125" si="35">"0x" &amp; MID($B125,$V125  + 2*(COLUMN() - COLUMN($W125)), 2)</f>
        <v>0x5A</v>
      </c>
      <c r="X125" s="62" t="str">
        <f t="shared" si="35"/>
        <v>0x94</v>
      </c>
      <c r="Y125" s="62" t="str">
        <f t="shared" si="35"/>
        <v>0x02</v>
      </c>
      <c r="Z125" s="62" t="str">
        <f t="shared" si="35"/>
        <v>0x00</v>
      </c>
      <c r="AA125" s="62" t="str">
        <f t="shared" si="35"/>
        <v>0x48</v>
      </c>
      <c r="AB125" s="62" t="str">
        <f t="shared" si="35"/>
        <v>0x8B</v>
      </c>
      <c r="AC125" s="62"/>
      <c r="AD125" s="62"/>
      <c r="AE125" s="62"/>
      <c r="AF125" s="58"/>
      <c r="AG125" s="58"/>
      <c r="AH125" s="58"/>
      <c r="AI125" s="58"/>
      <c r="AJ125" s="58"/>
      <c r="AK125" s="58"/>
      <c r="AL125" s="58"/>
      <c r="AM125" s="58"/>
      <c r="AN125" s="74" t="str">
        <f>"0x"&amp;MID($B125,27,2)</f>
        <v>0xB0</v>
      </c>
    </row>
    <row r="126" hidden="1">
      <c r="A126" s="33" t="str">
        <f t="shared" si="2"/>
        <v>E90C</v>
      </c>
      <c r="B126" s="34" t="str">
        <f>IFERROR(__xludf.DUMMYFUNCTION("REGEXREPLACE($H126, ""(?i)^8301(E000|E100|E200|E300)?"", """")"),"E90C00010F5C5C5BF000FC374895")</f>
        <v>E90C00010F5C5C5BF000FC374895</v>
      </c>
      <c r="C126" s="36" t="s">
        <v>30</v>
      </c>
      <c r="D126" s="36" t="s">
        <v>520</v>
      </c>
      <c r="E126" s="36" t="s">
        <v>106</v>
      </c>
      <c r="F126" s="36" t="s">
        <v>107</v>
      </c>
      <c r="G126" s="37">
        <v>46220.0</v>
      </c>
      <c r="H126" s="38" t="s">
        <v>247</v>
      </c>
      <c r="I126" s="36"/>
      <c r="J126" s="39" t="str">
        <f t="shared" si="3"/>
        <v>0x0C</v>
      </c>
      <c r="K126" s="40" t="str">
        <f t="shared" si="4"/>
        <v>0x00</v>
      </c>
      <c r="L126" s="40" t="str">
        <f t="shared" si="5"/>
        <v>0x01</v>
      </c>
      <c r="M126" s="42">
        <v>2.0</v>
      </c>
      <c r="N126" s="42" t="str">
        <f t="shared" si="27"/>
        <v>0x0F</v>
      </c>
      <c r="O126" s="48" t="str">
        <f t="shared" si="28"/>
        <v>0x5C</v>
      </c>
      <c r="P126" s="48" t="str">
        <f t="shared" si="29"/>
        <v>0x5C</v>
      </c>
      <c r="Q126" s="45"/>
      <c r="R126" s="46"/>
      <c r="S126" s="45"/>
      <c r="T126" s="45"/>
      <c r="U126" s="45"/>
      <c r="V126" s="40">
        <v>15.0</v>
      </c>
      <c r="W126" s="47" t="str">
        <f t="shared" ref="W126:AC126" si="36">"0x" &amp; MID($B126,$V126  + 2*(COLUMN() - COLUMN($W126)), 2)</f>
        <v>0x5B</v>
      </c>
      <c r="X126" s="47" t="str">
        <f t="shared" si="36"/>
        <v>0xF0</v>
      </c>
      <c r="Y126" s="47" t="str">
        <f t="shared" si="36"/>
        <v>0x00</v>
      </c>
      <c r="Z126" s="47" t="str">
        <f t="shared" si="36"/>
        <v>0xFC</v>
      </c>
      <c r="AA126" s="47" t="str">
        <f t="shared" si="36"/>
        <v>0x37</v>
      </c>
      <c r="AB126" s="47" t="str">
        <f t="shared" si="36"/>
        <v>0x48</v>
      </c>
      <c r="AC126" s="47" t="str">
        <f t="shared" si="36"/>
        <v>0x95</v>
      </c>
      <c r="AD126" s="47"/>
      <c r="AE126" s="47"/>
      <c r="AF126" s="40"/>
      <c r="AG126" s="40"/>
      <c r="AH126" s="40"/>
      <c r="AI126" s="40"/>
      <c r="AJ126" s="40"/>
      <c r="AK126" s="40"/>
      <c r="AL126" s="40"/>
      <c r="AM126" s="40"/>
      <c r="AN126" s="75"/>
    </row>
    <row r="127" hidden="1">
      <c r="A127" s="51" t="str">
        <f t="shared" si="2"/>
        <v>E90C</v>
      </c>
      <c r="B127" s="52" t="str">
        <f>IFERROR(__xludf.DUMMYFUNCTION("REGEXREPLACE($H127, ""(?i)^8301(E000|E100|E200|E300)?"", """")"),"E90C000F0FB1B9B5B1A2307B7DB0")</f>
        <v>E90C000F0FB1B9B5B1A2307B7DB0</v>
      </c>
      <c r="C127" s="65" t="s">
        <v>14</v>
      </c>
      <c r="D127" s="65" t="s">
        <v>472</v>
      </c>
      <c r="E127" s="65" t="s">
        <v>75</v>
      </c>
      <c r="F127" s="65" t="s">
        <v>120</v>
      </c>
      <c r="G127" s="67">
        <v>46219.0</v>
      </c>
      <c r="H127" s="68" t="s">
        <v>248</v>
      </c>
      <c r="I127" s="65"/>
      <c r="J127" s="57" t="str">
        <f t="shared" si="3"/>
        <v>0x0C</v>
      </c>
      <c r="K127" s="58" t="str">
        <f t="shared" si="4"/>
        <v>0x00</v>
      </c>
      <c r="L127" s="58" t="str">
        <f t="shared" si="5"/>
        <v>0x0F</v>
      </c>
      <c r="M127" s="59">
        <v>5.0</v>
      </c>
      <c r="N127" s="59" t="str">
        <f t="shared" si="27"/>
        <v>0x0F</v>
      </c>
      <c r="O127" s="71" t="str">
        <f t="shared" si="28"/>
        <v>0xB1</v>
      </c>
      <c r="P127" s="71" t="str">
        <f t="shared" si="29"/>
        <v>0xB9</v>
      </c>
      <c r="Q127" s="71" t="str">
        <f t="shared" ref="Q127:Q136" si="38">"0x"&amp;MID($B127,15,2)</f>
        <v>0xB5</v>
      </c>
      <c r="R127" s="59"/>
      <c r="S127" s="71" t="str">
        <f t="shared" ref="S127:S136" si="39">"0x"&amp;MID($B127,17,2)</f>
        <v>0xB1</v>
      </c>
      <c r="T127" s="71" t="str">
        <f t="shared" ref="T127:T136" si="40">"0x"&amp;MID($B127,19,2)</f>
        <v>0xA2</v>
      </c>
      <c r="U127" s="71"/>
      <c r="V127" s="58">
        <v>15.0</v>
      </c>
      <c r="W127" s="62" t="str">
        <f t="shared" ref="W127:AB127" si="37">"0x" &amp; MID($B127,$V127  + 2*(COLUMN() - COLUMN($W127)), 2)</f>
        <v>0xB5</v>
      </c>
      <c r="X127" s="62" t="str">
        <f t="shared" si="37"/>
        <v>0xB1</v>
      </c>
      <c r="Y127" s="62" t="str">
        <f t="shared" si="37"/>
        <v>0xA2</v>
      </c>
      <c r="Z127" s="62" t="str">
        <f t="shared" si="37"/>
        <v>0x30</v>
      </c>
      <c r="AA127" s="62" t="str">
        <f t="shared" si="37"/>
        <v>0x7B</v>
      </c>
      <c r="AB127" s="62" t="str">
        <f t="shared" si="37"/>
        <v>0x7D</v>
      </c>
      <c r="AC127" s="62"/>
      <c r="AD127" s="62"/>
      <c r="AE127" s="62"/>
      <c r="AF127" s="58"/>
      <c r="AG127" s="58"/>
      <c r="AH127" s="58"/>
      <c r="AI127" s="58"/>
      <c r="AJ127" s="58"/>
      <c r="AK127" s="58"/>
      <c r="AL127" s="58"/>
      <c r="AM127" s="58"/>
      <c r="AN127" s="74" t="str">
        <f t="shared" ref="AN127:AN136" si="42">"0x"&amp;MID($B127,27,2)</f>
        <v>0xB0</v>
      </c>
    </row>
    <row r="128" hidden="1">
      <c r="A128" s="33" t="str">
        <f t="shared" si="2"/>
        <v>E90C</v>
      </c>
      <c r="B128" s="34" t="str">
        <f>IFERROR(__xludf.DUMMYFUNCTION("REGEXREPLACE($H128, ""(?i)^8301(E000|E100|E200|E300)?"", """")"),"E90C00150F5B5548A5D1654003B8")</f>
        <v>E90C00150F5B5548A5D1654003B8</v>
      </c>
      <c r="C128" s="36" t="s">
        <v>14</v>
      </c>
      <c r="D128" s="36" t="s">
        <v>233</v>
      </c>
      <c r="E128" s="36" t="s">
        <v>129</v>
      </c>
      <c r="F128" s="69" t="s">
        <v>137</v>
      </c>
      <c r="G128" s="37">
        <v>46240.0</v>
      </c>
      <c r="H128" s="44" t="s">
        <v>236</v>
      </c>
      <c r="I128" s="36" t="s">
        <v>153</v>
      </c>
      <c r="J128" s="39" t="str">
        <f t="shared" si="3"/>
        <v>0x0C</v>
      </c>
      <c r="K128" s="40" t="str">
        <f t="shared" si="4"/>
        <v>0x00</v>
      </c>
      <c r="L128" s="40" t="str">
        <f t="shared" si="5"/>
        <v>0x15</v>
      </c>
      <c r="M128" s="42">
        <v>5.0</v>
      </c>
      <c r="N128" s="42" t="str">
        <f t="shared" si="27"/>
        <v>0x0F</v>
      </c>
      <c r="O128" s="48" t="str">
        <f t="shared" si="28"/>
        <v>0x5B</v>
      </c>
      <c r="P128" s="48" t="str">
        <f t="shared" si="29"/>
        <v>0x55</v>
      </c>
      <c r="Q128" s="48" t="str">
        <f t="shared" si="38"/>
        <v>0x48</v>
      </c>
      <c r="R128" s="42"/>
      <c r="S128" s="48" t="str">
        <f t="shared" si="39"/>
        <v>0xA5</v>
      </c>
      <c r="T128" s="48" t="str">
        <f t="shared" si="40"/>
        <v>0xD1</v>
      </c>
      <c r="U128" s="48"/>
      <c r="V128" s="40">
        <v>15.0</v>
      </c>
      <c r="W128" s="47" t="str">
        <f t="shared" ref="W128:AB128" si="41">"0x" &amp; MID($B128,$V128  + 2*(COLUMN() - COLUMN($W128)), 2)</f>
        <v>0x48</v>
      </c>
      <c r="X128" s="47" t="str">
        <f t="shared" si="41"/>
        <v>0xA5</v>
      </c>
      <c r="Y128" s="47" t="str">
        <f t="shared" si="41"/>
        <v>0xD1</v>
      </c>
      <c r="Z128" s="47" t="str">
        <f t="shared" si="41"/>
        <v>0x65</v>
      </c>
      <c r="AA128" s="47" t="str">
        <f t="shared" si="41"/>
        <v>0x40</v>
      </c>
      <c r="AB128" s="47" t="str">
        <f t="shared" si="41"/>
        <v>0x03</v>
      </c>
      <c r="AC128" s="47"/>
      <c r="AD128" s="47"/>
      <c r="AE128" s="47"/>
      <c r="AF128" s="40"/>
      <c r="AG128" s="40"/>
      <c r="AH128" s="40"/>
      <c r="AI128" s="40"/>
      <c r="AJ128" s="40"/>
      <c r="AK128" s="40"/>
      <c r="AL128" s="40"/>
      <c r="AM128" s="40"/>
      <c r="AN128" s="64" t="str">
        <f t="shared" si="42"/>
        <v>0xB8</v>
      </c>
    </row>
    <row r="129" hidden="1">
      <c r="A129" s="51" t="str">
        <f t="shared" si="2"/>
        <v>E90C</v>
      </c>
      <c r="B129" s="52" t="str">
        <f>IFERROR(__xludf.DUMMYFUNCTION("REGEXREPLACE($H129, ""(?i)^8301(E000|E100|E200|E300)?"", """")"),"E90C00190FB5B1A4B5B2307B40B0")</f>
        <v>E90C00190FB5B1A4B5B2307B40B0</v>
      </c>
      <c r="C129" s="65" t="s">
        <v>14</v>
      </c>
      <c r="D129" s="65" t="s">
        <v>118</v>
      </c>
      <c r="E129" s="65" t="s">
        <v>129</v>
      </c>
      <c r="F129" s="65" t="s">
        <v>137</v>
      </c>
      <c r="G129" s="67">
        <v>46207.0</v>
      </c>
      <c r="H129" s="56" t="s">
        <v>250</v>
      </c>
      <c r="I129" s="65"/>
      <c r="J129" s="57" t="str">
        <f t="shared" si="3"/>
        <v>0x0C</v>
      </c>
      <c r="K129" s="58" t="str">
        <f t="shared" si="4"/>
        <v>0x00</v>
      </c>
      <c r="L129" s="58" t="str">
        <f t="shared" si="5"/>
        <v>0x19</v>
      </c>
      <c r="M129" s="59">
        <v>5.0</v>
      </c>
      <c r="N129" s="59" t="str">
        <f t="shared" si="27"/>
        <v>0x0F</v>
      </c>
      <c r="O129" s="71" t="str">
        <f t="shared" si="28"/>
        <v>0xB5</v>
      </c>
      <c r="P129" s="71" t="str">
        <f t="shared" si="29"/>
        <v>0xB1</v>
      </c>
      <c r="Q129" s="71" t="str">
        <f t="shared" si="38"/>
        <v>0xA4</v>
      </c>
      <c r="R129" s="59"/>
      <c r="S129" s="71" t="str">
        <f t="shared" si="39"/>
        <v>0xB5</v>
      </c>
      <c r="T129" s="71" t="str">
        <f t="shared" si="40"/>
        <v>0xB2</v>
      </c>
      <c r="U129" s="71"/>
      <c r="V129" s="58">
        <v>15.0</v>
      </c>
      <c r="W129" s="62" t="str">
        <f t="shared" ref="W129:AB129" si="43">"0x" &amp; MID($B129,$V129  + 2*(COLUMN() - COLUMN($W129)), 2)</f>
        <v>0xA4</v>
      </c>
      <c r="X129" s="62" t="str">
        <f t="shared" si="43"/>
        <v>0xB5</v>
      </c>
      <c r="Y129" s="62" t="str">
        <f t="shared" si="43"/>
        <v>0xB2</v>
      </c>
      <c r="Z129" s="62" t="str">
        <f t="shared" si="43"/>
        <v>0x30</v>
      </c>
      <c r="AA129" s="62" t="str">
        <f t="shared" si="43"/>
        <v>0x7B</v>
      </c>
      <c r="AB129" s="62" t="str">
        <f t="shared" si="43"/>
        <v>0x40</v>
      </c>
      <c r="AC129" s="62"/>
      <c r="AD129" s="62"/>
      <c r="AE129" s="62"/>
      <c r="AF129" s="58"/>
      <c r="AG129" s="58"/>
      <c r="AH129" s="58"/>
      <c r="AI129" s="58"/>
      <c r="AJ129" s="58"/>
      <c r="AK129" s="58"/>
      <c r="AL129" s="58"/>
      <c r="AM129" s="58"/>
      <c r="AN129" s="74" t="str">
        <f t="shared" si="42"/>
        <v>0xB0</v>
      </c>
    </row>
    <row r="130" hidden="1">
      <c r="A130" s="33" t="str">
        <f t="shared" si="2"/>
        <v>E90C</v>
      </c>
      <c r="B130" s="34" t="str">
        <f>IFERROR(__xludf.DUMMYFUNCTION("REGEXREPLACE($H130, ""(?i)^8301(E000|E100|E200|E300)?"", """")"),"E90C00460FB5B1B9A4A8307B00B0")</f>
        <v>E90C00460FB5B1B9A4A8307B00B0</v>
      </c>
      <c r="C130" s="36" t="s">
        <v>14</v>
      </c>
      <c r="D130" s="36" t="s">
        <v>118</v>
      </c>
      <c r="E130" s="36" t="s">
        <v>106</v>
      </c>
      <c r="F130" s="36" t="s">
        <v>175</v>
      </c>
      <c r="G130" s="37">
        <v>46220.0</v>
      </c>
      <c r="H130" s="38" t="s">
        <v>177</v>
      </c>
      <c r="I130" s="36"/>
      <c r="J130" s="39" t="str">
        <f t="shared" si="3"/>
        <v>0x0C</v>
      </c>
      <c r="K130" s="40" t="str">
        <f t="shared" si="4"/>
        <v>0x00</v>
      </c>
      <c r="L130" s="40" t="str">
        <f t="shared" si="5"/>
        <v>0x46</v>
      </c>
      <c r="M130" s="42">
        <v>5.0</v>
      </c>
      <c r="N130" s="42" t="str">
        <f t="shared" si="27"/>
        <v>0x0F</v>
      </c>
      <c r="O130" s="48" t="str">
        <f t="shared" si="28"/>
        <v>0xB5</v>
      </c>
      <c r="P130" s="48" t="str">
        <f t="shared" si="29"/>
        <v>0xB1</v>
      </c>
      <c r="Q130" s="48" t="str">
        <f t="shared" si="38"/>
        <v>0xB9</v>
      </c>
      <c r="R130" s="42"/>
      <c r="S130" s="48" t="str">
        <f t="shared" si="39"/>
        <v>0xA4</v>
      </c>
      <c r="T130" s="48" t="str">
        <f t="shared" si="40"/>
        <v>0xA8</v>
      </c>
      <c r="U130" s="48"/>
      <c r="V130" s="40">
        <v>21.0</v>
      </c>
      <c r="W130" s="40" t="str">
        <f t="shared" ref="W130:Y130" si="44">"0x" &amp; MID($B130,$V130  + 2*(COLUMN() - COLUMN($W130)), 2)</f>
        <v>0x30</v>
      </c>
      <c r="X130" s="40" t="str">
        <f t="shared" si="44"/>
        <v>0x7B</v>
      </c>
      <c r="Y130" s="40" t="str">
        <f t="shared" si="44"/>
        <v>0x00</v>
      </c>
      <c r="Z130" s="40"/>
      <c r="AA130" s="40"/>
      <c r="AB130" s="40"/>
      <c r="AC130" s="40"/>
      <c r="AD130" s="40"/>
      <c r="AE130" s="40"/>
      <c r="AF130" s="40"/>
      <c r="AG130" s="40"/>
      <c r="AH130" s="40"/>
      <c r="AI130" s="40"/>
      <c r="AJ130" s="40"/>
      <c r="AK130" s="40"/>
      <c r="AL130" s="40"/>
      <c r="AM130" s="40"/>
      <c r="AN130" s="64" t="str">
        <f t="shared" si="42"/>
        <v>0xB0</v>
      </c>
    </row>
    <row r="131" hidden="1">
      <c r="A131" s="51" t="str">
        <f t="shared" si="2"/>
        <v>E90C</v>
      </c>
      <c r="B131" s="52" t="str">
        <f>IFERROR(__xludf.DUMMYFUNCTION("REGEXREPLACE($H131, ""(?i)^8301(E000|E100|E200|E300)?"", """")"),"E90C00640FB2A4B5B2B5307B7DB0")</f>
        <v>E90C00640FB2A4B5B2B5307B7DB0</v>
      </c>
      <c r="C131" s="65" t="s">
        <v>14</v>
      </c>
      <c r="D131" s="65" t="s">
        <v>118</v>
      </c>
      <c r="E131" s="65" t="s">
        <v>75</v>
      </c>
      <c r="F131" s="65" t="s">
        <v>120</v>
      </c>
      <c r="G131" s="67">
        <v>46219.0</v>
      </c>
      <c r="H131" s="68" t="s">
        <v>121</v>
      </c>
      <c r="I131" s="65"/>
      <c r="J131" s="57" t="str">
        <f t="shared" si="3"/>
        <v>0x0C</v>
      </c>
      <c r="K131" s="58" t="str">
        <f t="shared" si="4"/>
        <v>0x00</v>
      </c>
      <c r="L131" s="58" t="str">
        <f t="shared" si="5"/>
        <v>0x64</v>
      </c>
      <c r="M131" s="59">
        <v>5.0</v>
      </c>
      <c r="N131" s="59" t="str">
        <f t="shared" si="27"/>
        <v>0x0F</v>
      </c>
      <c r="O131" s="71" t="str">
        <f t="shared" si="28"/>
        <v>0xB2</v>
      </c>
      <c r="P131" s="71" t="str">
        <f t="shared" si="29"/>
        <v>0xA4</v>
      </c>
      <c r="Q131" s="71" t="str">
        <f t="shared" si="38"/>
        <v>0xB5</v>
      </c>
      <c r="R131" s="59"/>
      <c r="S131" s="71" t="str">
        <f t="shared" si="39"/>
        <v>0xB2</v>
      </c>
      <c r="T131" s="71" t="str">
        <f t="shared" si="40"/>
        <v>0xB5</v>
      </c>
      <c r="U131" s="71"/>
      <c r="V131" s="58">
        <v>21.0</v>
      </c>
      <c r="W131" s="58" t="str">
        <f t="shared" ref="W131:Y131" si="45">"0x" &amp; MID($B131,$V131  + 2*(COLUMN() - COLUMN($W131)), 2)</f>
        <v>0x30</v>
      </c>
      <c r="X131" s="58" t="str">
        <f t="shared" si="45"/>
        <v>0x7B</v>
      </c>
      <c r="Y131" s="58" t="str">
        <f t="shared" si="45"/>
        <v>0x7D</v>
      </c>
      <c r="Z131" s="58"/>
      <c r="AA131" s="58"/>
      <c r="AB131" s="58"/>
      <c r="AC131" s="58"/>
      <c r="AD131" s="58"/>
      <c r="AE131" s="58"/>
      <c r="AF131" s="58"/>
      <c r="AG131" s="58"/>
      <c r="AH131" s="58"/>
      <c r="AI131" s="58"/>
      <c r="AJ131" s="58"/>
      <c r="AK131" s="58"/>
      <c r="AL131" s="58"/>
      <c r="AM131" s="58"/>
      <c r="AN131" s="74" t="str">
        <f t="shared" si="42"/>
        <v>0xB0</v>
      </c>
    </row>
    <row r="132" hidden="1">
      <c r="A132" s="33" t="str">
        <f t="shared" si="2"/>
        <v>E90C</v>
      </c>
      <c r="B132" s="34" t="str">
        <f>IFERROR(__xludf.DUMMYFUNCTION("REGEXREPLACE($H132, ""(?i)^8301(E000|E100|E200|E300)?"", """")"),"E90C00830FB9B1B6B1B6307B07B0")</f>
        <v>E90C00830FB9B1B6B1B6307B07B0</v>
      </c>
      <c r="C132" s="36" t="s">
        <v>14</v>
      </c>
      <c r="D132" s="36" t="s">
        <v>118</v>
      </c>
      <c r="E132" s="36" t="s">
        <v>106</v>
      </c>
      <c r="F132" s="36" t="s">
        <v>175</v>
      </c>
      <c r="G132" s="37">
        <v>46220.0</v>
      </c>
      <c r="H132" s="38" t="s">
        <v>202</v>
      </c>
      <c r="I132" s="36"/>
      <c r="J132" s="39" t="str">
        <f t="shared" si="3"/>
        <v>0x0C</v>
      </c>
      <c r="K132" s="40" t="str">
        <f t="shared" si="4"/>
        <v>0x00</v>
      </c>
      <c r="L132" s="40" t="str">
        <f t="shared" si="5"/>
        <v>0x83</v>
      </c>
      <c r="M132" s="42">
        <v>5.0</v>
      </c>
      <c r="N132" s="42" t="str">
        <f t="shared" si="27"/>
        <v>0x0F</v>
      </c>
      <c r="O132" s="48" t="str">
        <f t="shared" si="28"/>
        <v>0xB9</v>
      </c>
      <c r="P132" s="48" t="str">
        <f t="shared" si="29"/>
        <v>0xB1</v>
      </c>
      <c r="Q132" s="48" t="str">
        <f t="shared" si="38"/>
        <v>0xB6</v>
      </c>
      <c r="R132" s="42"/>
      <c r="S132" s="48" t="str">
        <f t="shared" si="39"/>
        <v>0xB1</v>
      </c>
      <c r="T132" s="48" t="str">
        <f t="shared" si="40"/>
        <v>0xB6</v>
      </c>
      <c r="U132" s="48"/>
      <c r="V132" s="40">
        <v>21.0</v>
      </c>
      <c r="W132" s="40" t="str">
        <f t="shared" ref="W132:Y132" si="46">"0x" &amp; MID($B132,$V132  + 2*(COLUMN() - COLUMN($W132)), 2)</f>
        <v>0x30</v>
      </c>
      <c r="X132" s="40" t="str">
        <f t="shared" si="46"/>
        <v>0x7B</v>
      </c>
      <c r="Y132" s="40" t="str">
        <f t="shared" si="46"/>
        <v>0x07</v>
      </c>
      <c r="Z132" s="40"/>
      <c r="AA132" s="40"/>
      <c r="AB132" s="40"/>
      <c r="AC132" s="40"/>
      <c r="AD132" s="40"/>
      <c r="AE132" s="40"/>
      <c r="AF132" s="40"/>
      <c r="AG132" s="40"/>
      <c r="AH132" s="40"/>
      <c r="AI132" s="40"/>
      <c r="AJ132" s="40"/>
      <c r="AK132" s="40"/>
      <c r="AL132" s="40"/>
      <c r="AM132" s="40"/>
      <c r="AN132" s="64" t="str">
        <f t="shared" si="42"/>
        <v>0xB0</v>
      </c>
    </row>
    <row r="133" hidden="1">
      <c r="A133" s="51" t="str">
        <f t="shared" si="2"/>
        <v>E90C</v>
      </c>
      <c r="B133" s="52" t="str">
        <f>IFERROR(__xludf.DUMMYFUNCTION("REGEXREPLACE($H133, ""(?i)^8301(E000|E100|E200|E300)?"", """")"),"E90C00930FAFB9ADB3A8307B00B0")</f>
        <v>E90C00930FAFB9ADB3A8307B00B0</v>
      </c>
      <c r="C133" s="65" t="s">
        <v>14</v>
      </c>
      <c r="D133" s="65" t="s">
        <v>118</v>
      </c>
      <c r="E133" s="65" t="s">
        <v>129</v>
      </c>
      <c r="F133" s="65" t="s">
        <v>137</v>
      </c>
      <c r="G133" s="67">
        <v>46207.0</v>
      </c>
      <c r="H133" s="56" t="s">
        <v>254</v>
      </c>
      <c r="I133" s="65"/>
      <c r="J133" s="57" t="str">
        <f t="shared" si="3"/>
        <v>0x0C</v>
      </c>
      <c r="K133" s="58" t="str">
        <f t="shared" si="4"/>
        <v>0x00</v>
      </c>
      <c r="L133" s="58" t="str">
        <f t="shared" si="5"/>
        <v>0x93</v>
      </c>
      <c r="M133" s="59">
        <v>5.0</v>
      </c>
      <c r="N133" s="59" t="str">
        <f t="shared" si="27"/>
        <v>0x0F</v>
      </c>
      <c r="O133" s="71" t="str">
        <f t="shared" si="28"/>
        <v>0xAF</v>
      </c>
      <c r="P133" s="71" t="str">
        <f t="shared" si="29"/>
        <v>0xB9</v>
      </c>
      <c r="Q133" s="71" t="str">
        <f t="shared" si="38"/>
        <v>0xAD</v>
      </c>
      <c r="R133" s="59"/>
      <c r="S133" s="71" t="str">
        <f t="shared" si="39"/>
        <v>0xB3</v>
      </c>
      <c r="T133" s="71" t="str">
        <f t="shared" si="40"/>
        <v>0xA8</v>
      </c>
      <c r="U133" s="71"/>
      <c r="V133" s="58">
        <v>21.0</v>
      </c>
      <c r="W133" s="58" t="str">
        <f t="shared" ref="W133:Y133" si="47">"0x" &amp; MID($B133,$V133  + 2*(COLUMN() - COLUMN($W133)), 2)</f>
        <v>0x30</v>
      </c>
      <c r="X133" s="58" t="str">
        <f t="shared" si="47"/>
        <v>0x7B</v>
      </c>
      <c r="Y133" s="58" t="str">
        <f t="shared" si="47"/>
        <v>0x00</v>
      </c>
      <c r="Z133" s="58"/>
      <c r="AA133" s="58"/>
      <c r="AB133" s="58"/>
      <c r="AC133" s="58"/>
      <c r="AD133" s="58"/>
      <c r="AE133" s="58"/>
      <c r="AF133" s="58"/>
      <c r="AG133" s="58"/>
      <c r="AH133" s="58"/>
      <c r="AI133" s="58"/>
      <c r="AJ133" s="58"/>
      <c r="AK133" s="58"/>
      <c r="AL133" s="58"/>
      <c r="AM133" s="58"/>
      <c r="AN133" s="74" t="str">
        <f t="shared" si="42"/>
        <v>0xB0</v>
      </c>
    </row>
    <row r="134">
      <c r="A134" s="33" t="str">
        <f t="shared" si="2"/>
        <v>E90C</v>
      </c>
      <c r="B134" s="34" t="str">
        <f>IFERROR(__xludf.DUMMYFUNCTION("REGEXREPLACE($H134, ""(?i)^8301(E000|E100|E200|E300)?"", """")"),"E90C00A30FBDAEB3A2B9307BFBB0")</f>
        <v>E90C00A30FBDAEB3A2B9307BFBB0</v>
      </c>
      <c r="C134" s="36" t="s">
        <v>14</v>
      </c>
      <c r="D134" s="36"/>
      <c r="E134" s="36" t="s">
        <v>217</v>
      </c>
      <c r="F134" s="36" t="s">
        <v>218</v>
      </c>
      <c r="G134" s="37">
        <v>46244.0</v>
      </c>
      <c r="H134" s="38" t="s">
        <v>220</v>
      </c>
      <c r="I134" s="36"/>
      <c r="J134" s="39" t="str">
        <f t="shared" si="3"/>
        <v>0x0C</v>
      </c>
      <c r="K134" s="40" t="str">
        <f t="shared" si="4"/>
        <v>0x00</v>
      </c>
      <c r="L134" s="40" t="str">
        <f t="shared" si="5"/>
        <v>0xA3</v>
      </c>
      <c r="M134" s="42">
        <v>5.0</v>
      </c>
      <c r="N134" s="42" t="str">
        <f t="shared" si="27"/>
        <v>0x0F</v>
      </c>
      <c r="O134" s="48" t="str">
        <f t="shared" si="28"/>
        <v>0xBD</v>
      </c>
      <c r="P134" s="48" t="str">
        <f t="shared" si="29"/>
        <v>0xAE</v>
      </c>
      <c r="Q134" s="48" t="str">
        <f t="shared" si="38"/>
        <v>0xB3</v>
      </c>
      <c r="R134" s="42"/>
      <c r="S134" s="48" t="str">
        <f t="shared" si="39"/>
        <v>0xA2</v>
      </c>
      <c r="T134" s="48" t="str">
        <f t="shared" si="40"/>
        <v>0xB9</v>
      </c>
      <c r="U134" s="48"/>
      <c r="V134" s="40">
        <v>21.0</v>
      </c>
      <c r="W134" s="40" t="str">
        <f t="shared" ref="W134:Y134" si="48">"0x" &amp; MID($B134,$V134  + 2*(COLUMN() - COLUMN($W134)), 2)</f>
        <v>0x30</v>
      </c>
      <c r="X134" s="40" t="str">
        <f t="shared" si="48"/>
        <v>0x7B</v>
      </c>
      <c r="Y134" s="40" t="str">
        <f t="shared" si="48"/>
        <v>0xFB</v>
      </c>
      <c r="Z134" s="40"/>
      <c r="AA134" s="40"/>
      <c r="AB134" s="40"/>
      <c r="AC134" s="40"/>
      <c r="AD134" s="40"/>
      <c r="AE134" s="40"/>
      <c r="AF134" s="40"/>
      <c r="AG134" s="40"/>
      <c r="AH134" s="40"/>
      <c r="AI134" s="40"/>
      <c r="AJ134" s="40"/>
      <c r="AK134" s="40"/>
      <c r="AL134" s="40"/>
      <c r="AM134" s="40"/>
      <c r="AN134" s="64" t="str">
        <f t="shared" si="42"/>
        <v>0xB0</v>
      </c>
    </row>
    <row r="135">
      <c r="A135" s="51" t="str">
        <f t="shared" si="2"/>
        <v>E90C</v>
      </c>
      <c r="B135" s="52" t="str">
        <f>IFERROR(__xludf.DUMMYFUNCTION("REGEXREPLACE($H135, ""(?i)^8301(E000|E100|E200|E300)?"", """")"),"E90C00C20FBDAEB3A2B9307BFBB0")</f>
        <v>E90C00C20FBDAEB3A2B9307BFBB0</v>
      </c>
      <c r="C135" s="65" t="s">
        <v>14</v>
      </c>
      <c r="D135" s="65"/>
      <c r="E135" s="65" t="s">
        <v>217</v>
      </c>
      <c r="F135" s="65" t="s">
        <v>218</v>
      </c>
      <c r="G135" s="67">
        <v>46244.0</v>
      </c>
      <c r="H135" s="68" t="s">
        <v>468</v>
      </c>
      <c r="I135" s="65"/>
      <c r="J135" s="57" t="str">
        <f t="shared" si="3"/>
        <v>0x0C</v>
      </c>
      <c r="K135" s="58" t="str">
        <f t="shared" si="4"/>
        <v>0x00</v>
      </c>
      <c r="L135" s="58" t="str">
        <f t="shared" si="5"/>
        <v>0xC2</v>
      </c>
      <c r="M135" s="59">
        <v>5.0</v>
      </c>
      <c r="N135" s="59" t="str">
        <f t="shared" si="27"/>
        <v>0x0F</v>
      </c>
      <c r="O135" s="71" t="str">
        <f t="shared" si="28"/>
        <v>0xBD</v>
      </c>
      <c r="P135" s="71" t="str">
        <f t="shared" si="29"/>
        <v>0xAE</v>
      </c>
      <c r="Q135" s="71" t="str">
        <f t="shared" si="38"/>
        <v>0xB3</v>
      </c>
      <c r="R135" s="59"/>
      <c r="S135" s="71" t="str">
        <f t="shared" si="39"/>
        <v>0xA2</v>
      </c>
      <c r="T135" s="71" t="str">
        <f t="shared" si="40"/>
        <v>0xB9</v>
      </c>
      <c r="U135" s="71"/>
      <c r="V135" s="58">
        <v>21.0</v>
      </c>
      <c r="W135" s="58" t="str">
        <f t="shared" ref="W135:Y135" si="49">"0x" &amp; MID($B135,$V135  + 2*(COLUMN() - COLUMN($W135)), 2)</f>
        <v>0x30</v>
      </c>
      <c r="X135" s="58" t="str">
        <f t="shared" si="49"/>
        <v>0x7B</v>
      </c>
      <c r="Y135" s="58" t="str">
        <f t="shared" si="49"/>
        <v>0xFB</v>
      </c>
      <c r="Z135" s="58"/>
      <c r="AA135" s="58"/>
      <c r="AB135" s="58"/>
      <c r="AC135" s="58"/>
      <c r="AD135" s="58"/>
      <c r="AE135" s="58"/>
      <c r="AF135" s="58"/>
      <c r="AG135" s="58"/>
      <c r="AH135" s="58"/>
      <c r="AI135" s="58"/>
      <c r="AJ135" s="58"/>
      <c r="AK135" s="58"/>
      <c r="AL135" s="58"/>
      <c r="AM135" s="58"/>
      <c r="AN135" s="74" t="str">
        <f t="shared" si="42"/>
        <v>0xB0</v>
      </c>
    </row>
    <row r="136" hidden="1">
      <c r="A136" s="33" t="str">
        <f t="shared" si="2"/>
        <v>E90C</v>
      </c>
      <c r="B136" s="34" t="str">
        <f>IFERROR(__xludf.DUMMYFUNCTION("REGEXREPLACE($H136, ""(?i)^8301(E000|E100|E200|E300)?"", """")"),"E90C00CF0FB9A4B9A4A8307B7BB0")</f>
        <v>E90C00CF0FB9A4B9A4A8307B7BB0</v>
      </c>
      <c r="C136" s="36" t="s">
        <v>14</v>
      </c>
      <c r="D136" s="36" t="s">
        <v>118</v>
      </c>
      <c r="E136" s="36" t="s">
        <v>75</v>
      </c>
      <c r="F136" s="36" t="s">
        <v>120</v>
      </c>
      <c r="G136" s="37">
        <v>46219.0</v>
      </c>
      <c r="H136" s="38" t="s">
        <v>149</v>
      </c>
      <c r="I136" s="36"/>
      <c r="J136" s="39" t="str">
        <f t="shared" si="3"/>
        <v>0x0C</v>
      </c>
      <c r="K136" s="40" t="str">
        <f t="shared" si="4"/>
        <v>0x00</v>
      </c>
      <c r="L136" s="40" t="str">
        <f t="shared" si="5"/>
        <v>0xCF</v>
      </c>
      <c r="M136" s="42">
        <v>5.0</v>
      </c>
      <c r="N136" s="42" t="str">
        <f t="shared" si="27"/>
        <v>0x0F</v>
      </c>
      <c r="O136" s="48" t="str">
        <f t="shared" si="28"/>
        <v>0xB9</v>
      </c>
      <c r="P136" s="48" t="str">
        <f t="shared" si="29"/>
        <v>0xA4</v>
      </c>
      <c r="Q136" s="48" t="str">
        <f t="shared" si="38"/>
        <v>0xB9</v>
      </c>
      <c r="R136" s="42"/>
      <c r="S136" s="48" t="str">
        <f t="shared" si="39"/>
        <v>0xA4</v>
      </c>
      <c r="T136" s="48" t="str">
        <f t="shared" si="40"/>
        <v>0xA8</v>
      </c>
      <c r="U136" s="48"/>
      <c r="V136" s="40">
        <v>21.0</v>
      </c>
      <c r="W136" s="40" t="str">
        <f t="shared" ref="W136:Y136" si="50">"0x" &amp; MID($B136,$V136  + 2*(COLUMN() - COLUMN($W136)), 2)</f>
        <v>0x30</v>
      </c>
      <c r="X136" s="40" t="str">
        <f t="shared" si="50"/>
        <v>0x7B</v>
      </c>
      <c r="Y136" s="40" t="str">
        <f t="shared" si="50"/>
        <v>0x7B</v>
      </c>
      <c r="Z136" s="40"/>
      <c r="AA136" s="40"/>
      <c r="AB136" s="40"/>
      <c r="AC136" s="40"/>
      <c r="AD136" s="40"/>
      <c r="AE136" s="40"/>
      <c r="AF136" s="40"/>
      <c r="AG136" s="40"/>
      <c r="AH136" s="40"/>
      <c r="AI136" s="40"/>
      <c r="AJ136" s="40"/>
      <c r="AK136" s="40"/>
      <c r="AL136" s="40"/>
      <c r="AM136" s="40"/>
      <c r="AN136" s="64" t="str">
        <f t="shared" si="42"/>
        <v>0xB0</v>
      </c>
    </row>
    <row r="137" hidden="1">
      <c r="A137" s="51" t="str">
        <f t="shared" si="2"/>
        <v>E90C</v>
      </c>
      <c r="B137" s="52" t="str">
        <f>IFERROR(__xludf.DUMMYFUNCTION("REGEXREPLACE($H137, ""(?i)^8301(E000|E100|E200|E300)?"", """")"),"E90C00EF0F4F4F5BF0FB14374895")</f>
        <v>E90C00EF0F4F4F5BF0FB14374895</v>
      </c>
      <c r="C137" s="65" t="s">
        <v>30</v>
      </c>
      <c r="D137" s="65" t="s">
        <v>42</v>
      </c>
      <c r="E137" s="65" t="s">
        <v>106</v>
      </c>
      <c r="F137" s="65" t="s">
        <v>107</v>
      </c>
      <c r="G137" s="67">
        <v>46220.0</v>
      </c>
      <c r="H137" s="68" t="s">
        <v>255</v>
      </c>
      <c r="I137" s="65"/>
      <c r="J137" s="57" t="str">
        <f t="shared" si="3"/>
        <v>0x0C</v>
      </c>
      <c r="K137" s="58" t="str">
        <f t="shared" si="4"/>
        <v>0x00</v>
      </c>
      <c r="L137" s="58" t="str">
        <f t="shared" si="5"/>
        <v>0xEF</v>
      </c>
      <c r="M137" s="59">
        <v>2.0</v>
      </c>
      <c r="N137" s="59" t="str">
        <f t="shared" si="27"/>
        <v>0x0F</v>
      </c>
      <c r="O137" s="71" t="str">
        <f t="shared" si="28"/>
        <v>0x4F</v>
      </c>
      <c r="P137" s="71" t="str">
        <f t="shared" si="29"/>
        <v>0x4F</v>
      </c>
      <c r="Q137" s="60"/>
      <c r="R137" s="61"/>
      <c r="S137" s="60"/>
      <c r="T137" s="60"/>
      <c r="U137" s="60"/>
      <c r="V137" s="58">
        <v>15.0</v>
      </c>
      <c r="W137" s="58" t="str">
        <f t="shared" ref="W137:AC137" si="51">"0x" &amp; MID($B137,$V137  + 2*(COLUMN() - COLUMN($W137)), 2)</f>
        <v>0x5B</v>
      </c>
      <c r="X137" s="58" t="str">
        <f t="shared" si="51"/>
        <v>0xF0</v>
      </c>
      <c r="Y137" s="58" t="str">
        <f t="shared" si="51"/>
        <v>0xFB</v>
      </c>
      <c r="Z137" s="58" t="str">
        <f t="shared" si="51"/>
        <v>0x14</v>
      </c>
      <c r="AA137" s="58" t="str">
        <f t="shared" si="51"/>
        <v>0x37</v>
      </c>
      <c r="AB137" s="58" t="str">
        <f t="shared" si="51"/>
        <v>0x48</v>
      </c>
      <c r="AC137" s="58" t="str">
        <f t="shared" si="51"/>
        <v>0x95</v>
      </c>
      <c r="AD137" s="58"/>
      <c r="AE137" s="58"/>
      <c r="AF137" s="58"/>
      <c r="AG137" s="58"/>
      <c r="AH137" s="58"/>
      <c r="AI137" s="58"/>
      <c r="AJ137" s="58"/>
      <c r="AK137" s="58"/>
      <c r="AL137" s="58"/>
      <c r="AM137" s="58"/>
      <c r="AN137" s="66"/>
    </row>
    <row r="138" hidden="1">
      <c r="A138" s="33" t="str">
        <f t="shared" si="2"/>
        <v>E90D</v>
      </c>
      <c r="B138" s="34" t="str">
        <f>IFERROR(__xludf.DUMMYFUNCTION("REGEXREPLACE($H138, ""(?i)^8301(E000|E100|E200|E300)?"", """")"),"E90D00110FBBBBBBBBBB59320248AE")</f>
        <v>E90D00110FBBBBBBBBBB59320248AE</v>
      </c>
      <c r="C138" s="36" t="s">
        <v>30</v>
      </c>
      <c r="D138" s="36" t="s">
        <v>503</v>
      </c>
      <c r="E138" s="36" t="s">
        <v>106</v>
      </c>
      <c r="F138" s="36" t="s">
        <v>107</v>
      </c>
      <c r="G138" s="37">
        <v>46220.0</v>
      </c>
      <c r="H138" s="38" t="s">
        <v>258</v>
      </c>
      <c r="I138" s="36"/>
      <c r="J138" s="39" t="str">
        <f t="shared" si="3"/>
        <v>0x0D</v>
      </c>
      <c r="K138" s="40" t="str">
        <f t="shared" si="4"/>
        <v>0x00</v>
      </c>
      <c r="L138" s="40" t="str">
        <f t="shared" si="5"/>
        <v>0x11</v>
      </c>
      <c r="M138" s="42">
        <v>5.0</v>
      </c>
      <c r="N138" s="42" t="str">
        <f t="shared" si="27"/>
        <v>0x0F</v>
      </c>
      <c r="O138" s="48" t="str">
        <f t="shared" si="28"/>
        <v>0xBB</v>
      </c>
      <c r="P138" s="48" t="str">
        <f t="shared" si="29"/>
        <v>0xBB</v>
      </c>
      <c r="Q138" s="48" t="str">
        <f t="shared" ref="Q138:Q146" si="53">"0x"&amp;MID($B138,15,2)</f>
        <v>0xBB</v>
      </c>
      <c r="R138" s="42"/>
      <c r="S138" s="48" t="str">
        <f t="shared" ref="S138:S146" si="54">"0x"&amp;MID($B138,17,2)</f>
        <v>0xBB</v>
      </c>
      <c r="T138" s="48" t="str">
        <f t="shared" ref="T138:T146" si="55">"0x"&amp;MID($B138,19,2)</f>
        <v>0xBB</v>
      </c>
      <c r="U138" s="48"/>
      <c r="V138" s="40">
        <v>21.0</v>
      </c>
      <c r="W138" s="40" t="str">
        <f t="shared" ref="W138:AA138" si="52">"0x" &amp; MID($B138,$V138  + 2*(COLUMN() - COLUMN($W138)), 2)</f>
        <v>0x59</v>
      </c>
      <c r="X138" s="40" t="str">
        <f t="shared" si="52"/>
        <v>0x32</v>
      </c>
      <c r="Y138" s="40" t="str">
        <f t="shared" si="52"/>
        <v>0x02</v>
      </c>
      <c r="Z138" s="40" t="str">
        <f t="shared" si="52"/>
        <v>0x48</v>
      </c>
      <c r="AA138" s="40" t="str">
        <f t="shared" si="52"/>
        <v>0xAE</v>
      </c>
      <c r="AB138" s="40"/>
      <c r="AC138" s="40"/>
      <c r="AD138" s="40"/>
      <c r="AE138" s="40"/>
      <c r="AF138" s="40"/>
      <c r="AG138" s="40"/>
      <c r="AH138" s="40"/>
      <c r="AI138" s="40"/>
      <c r="AJ138" s="40"/>
      <c r="AK138" s="40"/>
      <c r="AL138" s="40"/>
      <c r="AM138" s="40"/>
      <c r="AN138" s="75"/>
    </row>
    <row r="139" hidden="1">
      <c r="A139" s="51" t="str">
        <f t="shared" si="2"/>
        <v>E90D</v>
      </c>
      <c r="B139" s="52" t="str">
        <f>IFERROR(__xludf.DUMMYFUNCTION("REGEXREPLACE($H139, ""(?i)^8301(E000|E100|E200|E300)?"", """")"),"E90D00120FBBBBBBBBBB59320248AE")</f>
        <v>E90D00120FBBBBBBBBBB59320248AE</v>
      </c>
      <c r="C139" s="65" t="s">
        <v>30</v>
      </c>
      <c r="D139" s="65" t="s">
        <v>503</v>
      </c>
      <c r="E139" s="65" t="s">
        <v>106</v>
      </c>
      <c r="F139" s="65" t="s">
        <v>107</v>
      </c>
      <c r="G139" s="67">
        <v>46220.0</v>
      </c>
      <c r="H139" s="68" t="s">
        <v>259</v>
      </c>
      <c r="I139" s="65"/>
      <c r="J139" s="57" t="str">
        <f t="shared" si="3"/>
        <v>0x0D</v>
      </c>
      <c r="K139" s="58" t="str">
        <f t="shared" si="4"/>
        <v>0x00</v>
      </c>
      <c r="L139" s="58" t="str">
        <f t="shared" si="5"/>
        <v>0x12</v>
      </c>
      <c r="M139" s="59">
        <v>5.0</v>
      </c>
      <c r="N139" s="59" t="str">
        <f t="shared" si="27"/>
        <v>0x0F</v>
      </c>
      <c r="O139" s="71" t="str">
        <f t="shared" si="28"/>
        <v>0xBB</v>
      </c>
      <c r="P139" s="71" t="str">
        <f t="shared" si="29"/>
        <v>0xBB</v>
      </c>
      <c r="Q139" s="71" t="str">
        <f t="shared" si="53"/>
        <v>0xBB</v>
      </c>
      <c r="R139" s="59"/>
      <c r="S139" s="71" t="str">
        <f t="shared" si="54"/>
        <v>0xBB</v>
      </c>
      <c r="T139" s="71" t="str">
        <f t="shared" si="55"/>
        <v>0xBB</v>
      </c>
      <c r="U139" s="71"/>
      <c r="V139" s="58">
        <v>21.0</v>
      </c>
      <c r="W139" s="58" t="str">
        <f t="shared" ref="W139:AA139" si="56">"0x" &amp; MID($B139,$V139  + 2*(COLUMN() - COLUMN($W139)), 2)</f>
        <v>0x59</v>
      </c>
      <c r="X139" s="58" t="str">
        <f t="shared" si="56"/>
        <v>0x32</v>
      </c>
      <c r="Y139" s="58" t="str">
        <f t="shared" si="56"/>
        <v>0x02</v>
      </c>
      <c r="Z139" s="58" t="str">
        <f t="shared" si="56"/>
        <v>0x48</v>
      </c>
      <c r="AA139" s="58" t="str">
        <f t="shared" si="56"/>
        <v>0xAE</v>
      </c>
      <c r="AB139" s="58"/>
      <c r="AC139" s="58"/>
      <c r="AD139" s="58"/>
      <c r="AE139" s="58"/>
      <c r="AF139" s="58"/>
      <c r="AG139" s="58"/>
      <c r="AH139" s="58"/>
      <c r="AI139" s="58"/>
      <c r="AJ139" s="58"/>
      <c r="AK139" s="58"/>
      <c r="AL139" s="58"/>
      <c r="AM139" s="58"/>
      <c r="AN139" s="88"/>
    </row>
    <row r="140" hidden="1">
      <c r="A140" s="33" t="str">
        <f t="shared" si="2"/>
        <v>E90D</v>
      </c>
      <c r="B140" s="34" t="str">
        <f>IFERROR(__xludf.DUMMYFUNCTION("REGEXREPLACE($H140, ""(?i)^8301(E000|E100|E200|E300)?"", """")"),"E90D00120FBCA4B5A4B5590FFB48AE")</f>
        <v>E90D00120FBCA4B5A4B5590FFB48AE</v>
      </c>
      <c r="C140" s="36" t="s">
        <v>30</v>
      </c>
      <c r="D140" s="36" t="s">
        <v>503</v>
      </c>
      <c r="E140" s="36" t="s">
        <v>106</v>
      </c>
      <c r="F140" s="36" t="s">
        <v>107</v>
      </c>
      <c r="G140" s="37">
        <v>46220.0</v>
      </c>
      <c r="H140" s="38" t="s">
        <v>260</v>
      </c>
      <c r="I140" s="35"/>
      <c r="J140" s="39" t="str">
        <f t="shared" si="3"/>
        <v>0x0D</v>
      </c>
      <c r="K140" s="40" t="str">
        <f t="shared" si="4"/>
        <v>0x00</v>
      </c>
      <c r="L140" s="40" t="str">
        <f t="shared" si="5"/>
        <v>0x12</v>
      </c>
      <c r="M140" s="42">
        <v>5.0</v>
      </c>
      <c r="N140" s="42" t="str">
        <f t="shared" si="27"/>
        <v>0x0F</v>
      </c>
      <c r="O140" s="48" t="str">
        <f t="shared" si="28"/>
        <v>0xBC</v>
      </c>
      <c r="P140" s="48" t="str">
        <f t="shared" si="29"/>
        <v>0xA4</v>
      </c>
      <c r="Q140" s="48" t="str">
        <f t="shared" si="53"/>
        <v>0xB5</v>
      </c>
      <c r="R140" s="42"/>
      <c r="S140" s="48" t="str">
        <f t="shared" si="54"/>
        <v>0xA4</v>
      </c>
      <c r="T140" s="48" t="str">
        <f t="shared" si="55"/>
        <v>0xB5</v>
      </c>
      <c r="U140" s="48"/>
      <c r="V140" s="40">
        <v>21.0</v>
      </c>
      <c r="W140" s="40" t="str">
        <f t="shared" ref="W140:AA140" si="57">"0x" &amp; MID($B140,$V140  + 2*(COLUMN() - COLUMN($W140)), 2)</f>
        <v>0x59</v>
      </c>
      <c r="X140" s="40" t="str">
        <f t="shared" si="57"/>
        <v>0x0F</v>
      </c>
      <c r="Y140" s="40" t="str">
        <f t="shared" si="57"/>
        <v>0xFB</v>
      </c>
      <c r="Z140" s="40" t="str">
        <f t="shared" si="57"/>
        <v>0x48</v>
      </c>
      <c r="AA140" s="40" t="str">
        <f t="shared" si="57"/>
        <v>0xAE</v>
      </c>
      <c r="AB140" s="40"/>
      <c r="AC140" s="40"/>
      <c r="AD140" s="40"/>
      <c r="AE140" s="40"/>
      <c r="AF140" s="40"/>
      <c r="AG140" s="40"/>
      <c r="AH140" s="40"/>
      <c r="AI140" s="40"/>
      <c r="AJ140" s="40"/>
      <c r="AK140" s="40"/>
      <c r="AL140" s="40"/>
      <c r="AM140" s="40"/>
      <c r="AN140" s="75"/>
    </row>
    <row r="141" hidden="1">
      <c r="A141" s="51" t="str">
        <f t="shared" si="2"/>
        <v>E90D</v>
      </c>
      <c r="B141" s="52" t="str">
        <f>IFERROR(__xludf.DUMMYFUNCTION("REGEXREPLACE($H141, ""(?i)^8301(E000|E100|E200|E300)?"", """")"),"E90D00120FBCA4B9A4B9590FFB48AE")</f>
        <v>E90D00120FBCA4B9A4B9590FFB48AE</v>
      </c>
      <c r="C141" s="65" t="s">
        <v>30</v>
      </c>
      <c r="D141" s="65" t="s">
        <v>503</v>
      </c>
      <c r="E141" s="65" t="s">
        <v>106</v>
      </c>
      <c r="F141" s="65" t="s">
        <v>107</v>
      </c>
      <c r="G141" s="67">
        <v>46220.0</v>
      </c>
      <c r="H141" s="68" t="s">
        <v>261</v>
      </c>
      <c r="I141" s="53"/>
      <c r="J141" s="57" t="str">
        <f t="shared" si="3"/>
        <v>0x0D</v>
      </c>
      <c r="K141" s="58" t="str">
        <f t="shared" si="4"/>
        <v>0x00</v>
      </c>
      <c r="L141" s="58" t="str">
        <f t="shared" si="5"/>
        <v>0x12</v>
      </c>
      <c r="M141" s="59">
        <v>5.0</v>
      </c>
      <c r="N141" s="59" t="str">
        <f t="shared" si="27"/>
        <v>0x0F</v>
      </c>
      <c r="O141" s="71" t="str">
        <f t="shared" si="28"/>
        <v>0xBC</v>
      </c>
      <c r="P141" s="71" t="str">
        <f t="shared" si="29"/>
        <v>0xA4</v>
      </c>
      <c r="Q141" s="71" t="str">
        <f t="shared" si="53"/>
        <v>0xB9</v>
      </c>
      <c r="R141" s="59"/>
      <c r="S141" s="71" t="str">
        <f t="shared" si="54"/>
        <v>0xA4</v>
      </c>
      <c r="T141" s="71" t="str">
        <f t="shared" si="55"/>
        <v>0xB9</v>
      </c>
      <c r="U141" s="71"/>
      <c r="V141" s="58">
        <v>21.0</v>
      </c>
      <c r="W141" s="58" t="str">
        <f t="shared" ref="W141:AA141" si="58">"0x" &amp; MID($B141,$V141  + 2*(COLUMN() - COLUMN($W141)), 2)</f>
        <v>0x59</v>
      </c>
      <c r="X141" s="58" t="str">
        <f t="shared" si="58"/>
        <v>0x0F</v>
      </c>
      <c r="Y141" s="58" t="str">
        <f t="shared" si="58"/>
        <v>0xFB</v>
      </c>
      <c r="Z141" s="58" t="str">
        <f t="shared" si="58"/>
        <v>0x48</v>
      </c>
      <c r="AA141" s="58" t="str">
        <f t="shared" si="58"/>
        <v>0xAE</v>
      </c>
      <c r="AB141" s="58"/>
      <c r="AC141" s="58"/>
      <c r="AD141" s="58"/>
      <c r="AE141" s="58"/>
      <c r="AF141" s="58"/>
      <c r="AG141" s="58"/>
      <c r="AH141" s="58"/>
      <c r="AI141" s="58"/>
      <c r="AJ141" s="58"/>
      <c r="AK141" s="58"/>
      <c r="AL141" s="58"/>
      <c r="AM141" s="58"/>
      <c r="AN141" s="88"/>
    </row>
    <row r="142" hidden="1">
      <c r="A142" s="33" t="str">
        <f t="shared" si="2"/>
        <v>E90D</v>
      </c>
      <c r="B142" s="34" t="str">
        <f>IFERROR(__xludf.DUMMYFUNCTION("REGEXREPLACE($H142, ""(?i)^8301(E000|E100|E200|E300)?"", """")"),"E90D00130FB4B5B5B5B3590FFB48AE")</f>
        <v>E90D00130FB4B5B5B5B3590FFB48AE</v>
      </c>
      <c r="C142" s="36" t="s">
        <v>30</v>
      </c>
      <c r="D142" s="36" t="s">
        <v>503</v>
      </c>
      <c r="E142" s="36" t="s">
        <v>106</v>
      </c>
      <c r="F142" s="36" t="s">
        <v>107</v>
      </c>
      <c r="G142" s="37">
        <v>46220.0</v>
      </c>
      <c r="H142" s="38" t="s">
        <v>262</v>
      </c>
      <c r="I142" s="35"/>
      <c r="J142" s="39" t="str">
        <f t="shared" si="3"/>
        <v>0x0D</v>
      </c>
      <c r="K142" s="40" t="str">
        <f t="shared" si="4"/>
        <v>0x00</v>
      </c>
      <c r="L142" s="40" t="str">
        <f t="shared" si="5"/>
        <v>0x13</v>
      </c>
      <c r="M142" s="42">
        <v>5.0</v>
      </c>
      <c r="N142" s="42" t="str">
        <f t="shared" si="27"/>
        <v>0x0F</v>
      </c>
      <c r="O142" s="48" t="str">
        <f t="shared" si="28"/>
        <v>0xB4</v>
      </c>
      <c r="P142" s="48" t="str">
        <f t="shared" si="29"/>
        <v>0xB5</v>
      </c>
      <c r="Q142" s="48" t="str">
        <f t="shared" si="53"/>
        <v>0xB5</v>
      </c>
      <c r="R142" s="42"/>
      <c r="S142" s="48" t="str">
        <f t="shared" si="54"/>
        <v>0xB5</v>
      </c>
      <c r="T142" s="48" t="str">
        <f t="shared" si="55"/>
        <v>0xB3</v>
      </c>
      <c r="U142" s="48"/>
      <c r="V142" s="40">
        <v>21.0</v>
      </c>
      <c r="W142" s="40" t="str">
        <f t="shared" ref="W142:AA142" si="59">"0x" &amp; MID($B142,$V142  + 2*(COLUMN() - COLUMN($W142)), 2)</f>
        <v>0x59</v>
      </c>
      <c r="X142" s="40" t="str">
        <f t="shared" si="59"/>
        <v>0x0F</v>
      </c>
      <c r="Y142" s="40" t="str">
        <f t="shared" si="59"/>
        <v>0xFB</v>
      </c>
      <c r="Z142" s="40" t="str">
        <f t="shared" si="59"/>
        <v>0x48</v>
      </c>
      <c r="AA142" s="40" t="str">
        <f t="shared" si="59"/>
        <v>0xAE</v>
      </c>
      <c r="AB142" s="40"/>
      <c r="AC142" s="40"/>
      <c r="AD142" s="40"/>
      <c r="AE142" s="40"/>
      <c r="AF142" s="40"/>
      <c r="AG142" s="40"/>
      <c r="AH142" s="40"/>
      <c r="AI142" s="40"/>
      <c r="AJ142" s="40"/>
      <c r="AK142" s="40"/>
      <c r="AL142" s="40"/>
      <c r="AM142" s="40"/>
      <c r="AN142" s="75"/>
    </row>
    <row r="143" hidden="1">
      <c r="A143" s="51" t="str">
        <f t="shared" si="2"/>
        <v>E90D</v>
      </c>
      <c r="B143" s="52" t="str">
        <f>IFERROR(__xludf.DUMMYFUNCTION("REGEXREPLACE($H143, ""(?i)^8301(E000|E100|E200|E300)?"", """")"),"E90D00130FBBBBBBBBBB59320248AE")</f>
        <v>E90D00130FBBBBBBBBBB59320248AE</v>
      </c>
      <c r="C143" s="65" t="s">
        <v>30</v>
      </c>
      <c r="D143" s="65" t="s">
        <v>503</v>
      </c>
      <c r="E143" s="65" t="s">
        <v>106</v>
      </c>
      <c r="F143" s="65" t="s">
        <v>107</v>
      </c>
      <c r="G143" s="67">
        <v>46220.0</v>
      </c>
      <c r="H143" s="68" t="s">
        <v>263</v>
      </c>
      <c r="I143" s="53"/>
      <c r="J143" s="57" t="str">
        <f t="shared" si="3"/>
        <v>0x0D</v>
      </c>
      <c r="K143" s="58" t="str">
        <f t="shared" si="4"/>
        <v>0x00</v>
      </c>
      <c r="L143" s="58" t="str">
        <f t="shared" si="5"/>
        <v>0x13</v>
      </c>
      <c r="M143" s="59">
        <v>5.0</v>
      </c>
      <c r="N143" s="59" t="str">
        <f t="shared" si="27"/>
        <v>0x0F</v>
      </c>
      <c r="O143" s="71" t="str">
        <f t="shared" si="28"/>
        <v>0xBB</v>
      </c>
      <c r="P143" s="71" t="str">
        <f t="shared" si="29"/>
        <v>0xBB</v>
      </c>
      <c r="Q143" s="71" t="str">
        <f t="shared" si="53"/>
        <v>0xBB</v>
      </c>
      <c r="R143" s="59"/>
      <c r="S143" s="71" t="str">
        <f t="shared" si="54"/>
        <v>0xBB</v>
      </c>
      <c r="T143" s="71" t="str">
        <f t="shared" si="55"/>
        <v>0xBB</v>
      </c>
      <c r="U143" s="71"/>
      <c r="V143" s="58">
        <v>21.0</v>
      </c>
      <c r="W143" s="58" t="str">
        <f t="shared" ref="W143:AA143" si="60">"0x" &amp; MID($B143,$V143  + 2*(COLUMN() - COLUMN($W143)), 2)</f>
        <v>0x59</v>
      </c>
      <c r="X143" s="58" t="str">
        <f t="shared" si="60"/>
        <v>0x32</v>
      </c>
      <c r="Y143" s="58" t="str">
        <f t="shared" si="60"/>
        <v>0x02</v>
      </c>
      <c r="Z143" s="58" t="str">
        <f t="shared" si="60"/>
        <v>0x48</v>
      </c>
      <c r="AA143" s="58" t="str">
        <f t="shared" si="60"/>
        <v>0xAE</v>
      </c>
      <c r="AB143" s="58"/>
      <c r="AC143" s="58"/>
      <c r="AD143" s="58"/>
      <c r="AE143" s="58"/>
      <c r="AF143" s="58"/>
      <c r="AG143" s="58"/>
      <c r="AH143" s="58"/>
      <c r="AI143" s="58"/>
      <c r="AJ143" s="58"/>
      <c r="AK143" s="58"/>
      <c r="AL143" s="58"/>
      <c r="AM143" s="58"/>
      <c r="AN143" s="88"/>
    </row>
    <row r="144" hidden="1">
      <c r="A144" s="33" t="str">
        <f t="shared" si="2"/>
        <v>E90D</v>
      </c>
      <c r="B144" s="34" t="str">
        <f>IFERROR(__xludf.DUMMYFUNCTION("REGEXREPLACE($H144, ""(?i)^8301(E000|E100|E200|E300)?"", """")"),"E90D00160FB2AFB2AFB259190E48AE")</f>
        <v>E90D00160FB2AFB2AFB259190E48AE</v>
      </c>
      <c r="C144" s="36" t="s">
        <v>30</v>
      </c>
      <c r="D144" s="36" t="s">
        <v>503</v>
      </c>
      <c r="E144" s="36" t="s">
        <v>106</v>
      </c>
      <c r="F144" s="36" t="s">
        <v>107</v>
      </c>
      <c r="G144" s="37">
        <v>46220.0</v>
      </c>
      <c r="H144" s="38" t="s">
        <v>264</v>
      </c>
      <c r="I144" s="35"/>
      <c r="J144" s="39" t="str">
        <f t="shared" si="3"/>
        <v>0x0D</v>
      </c>
      <c r="K144" s="40" t="str">
        <f t="shared" si="4"/>
        <v>0x00</v>
      </c>
      <c r="L144" s="40" t="str">
        <f t="shared" si="5"/>
        <v>0x16</v>
      </c>
      <c r="M144" s="42">
        <v>5.0</v>
      </c>
      <c r="N144" s="42" t="str">
        <f t="shared" si="27"/>
        <v>0x0F</v>
      </c>
      <c r="O144" s="48" t="str">
        <f t="shared" si="28"/>
        <v>0xB2</v>
      </c>
      <c r="P144" s="48" t="str">
        <f t="shared" si="29"/>
        <v>0xAF</v>
      </c>
      <c r="Q144" s="48" t="str">
        <f t="shared" si="53"/>
        <v>0xB2</v>
      </c>
      <c r="R144" s="42"/>
      <c r="S144" s="48" t="str">
        <f t="shared" si="54"/>
        <v>0xAF</v>
      </c>
      <c r="T144" s="48" t="str">
        <f t="shared" si="55"/>
        <v>0xB2</v>
      </c>
      <c r="U144" s="48"/>
      <c r="V144" s="40">
        <v>21.0</v>
      </c>
      <c r="W144" s="40" t="str">
        <f t="shared" ref="W144:AA144" si="61">"0x" &amp; MID($B144,$V144  + 2*(COLUMN() - COLUMN($W144)), 2)</f>
        <v>0x59</v>
      </c>
      <c r="X144" s="40" t="str">
        <f t="shared" si="61"/>
        <v>0x19</v>
      </c>
      <c r="Y144" s="40" t="str">
        <f t="shared" si="61"/>
        <v>0x0E</v>
      </c>
      <c r="Z144" s="40" t="str">
        <f t="shared" si="61"/>
        <v>0x48</v>
      </c>
      <c r="AA144" s="40" t="str">
        <f t="shared" si="61"/>
        <v>0xAE</v>
      </c>
      <c r="AB144" s="40"/>
      <c r="AC144" s="40"/>
      <c r="AD144" s="40"/>
      <c r="AE144" s="40"/>
      <c r="AF144" s="40"/>
      <c r="AG144" s="40"/>
      <c r="AH144" s="40"/>
      <c r="AI144" s="40"/>
      <c r="AJ144" s="40"/>
      <c r="AK144" s="40"/>
      <c r="AL144" s="40"/>
      <c r="AM144" s="40"/>
      <c r="AN144" s="75"/>
    </row>
    <row r="145" hidden="1">
      <c r="A145" s="51" t="str">
        <f t="shared" si="2"/>
        <v>E90D</v>
      </c>
      <c r="B145" s="52" t="str">
        <f>IFERROR(__xludf.DUMMYFUNCTION("REGEXREPLACE($H145, ""(?i)^8301(E000|E100|E200|E300)?"", """")"),"E90D00160FB2B2B2B2B259190248AE")</f>
        <v>E90D00160FB2B2B2B2B259190248AE</v>
      </c>
      <c r="C145" s="65" t="s">
        <v>30</v>
      </c>
      <c r="D145" s="65" t="s">
        <v>503</v>
      </c>
      <c r="E145" s="65" t="s">
        <v>106</v>
      </c>
      <c r="F145" s="65" t="s">
        <v>107</v>
      </c>
      <c r="G145" s="67">
        <v>46220.0</v>
      </c>
      <c r="H145" s="68" t="s">
        <v>265</v>
      </c>
      <c r="I145" s="65"/>
      <c r="J145" s="57" t="str">
        <f t="shared" si="3"/>
        <v>0x0D</v>
      </c>
      <c r="K145" s="58" t="str">
        <f t="shared" si="4"/>
        <v>0x00</v>
      </c>
      <c r="L145" s="58" t="str">
        <f t="shared" si="5"/>
        <v>0x16</v>
      </c>
      <c r="M145" s="59">
        <v>5.0</v>
      </c>
      <c r="N145" s="59" t="str">
        <f t="shared" si="27"/>
        <v>0x0F</v>
      </c>
      <c r="O145" s="71" t="str">
        <f t="shared" si="28"/>
        <v>0xB2</v>
      </c>
      <c r="P145" s="71" t="str">
        <f t="shared" si="29"/>
        <v>0xB2</v>
      </c>
      <c r="Q145" s="71" t="str">
        <f t="shared" si="53"/>
        <v>0xB2</v>
      </c>
      <c r="R145" s="59"/>
      <c r="S145" s="71" t="str">
        <f t="shared" si="54"/>
        <v>0xB2</v>
      </c>
      <c r="T145" s="71" t="str">
        <f t="shared" si="55"/>
        <v>0xB2</v>
      </c>
      <c r="U145" s="71"/>
      <c r="V145" s="58">
        <v>21.0</v>
      </c>
      <c r="W145" s="58" t="str">
        <f t="shared" ref="W145:AA145" si="62">"0x" &amp; MID($B145,$V145  + 2*(COLUMN() - COLUMN($W145)), 2)</f>
        <v>0x59</v>
      </c>
      <c r="X145" s="58" t="str">
        <f t="shared" si="62"/>
        <v>0x19</v>
      </c>
      <c r="Y145" s="58" t="str">
        <f t="shared" si="62"/>
        <v>0x02</v>
      </c>
      <c r="Z145" s="58" t="str">
        <f t="shared" si="62"/>
        <v>0x48</v>
      </c>
      <c r="AA145" s="58" t="str">
        <f t="shared" si="62"/>
        <v>0xAE</v>
      </c>
      <c r="AB145" s="58"/>
      <c r="AC145" s="58"/>
      <c r="AD145" s="58"/>
      <c r="AE145" s="58"/>
      <c r="AF145" s="58"/>
      <c r="AG145" s="58"/>
      <c r="AH145" s="58"/>
      <c r="AI145" s="58"/>
      <c r="AJ145" s="58"/>
      <c r="AK145" s="58"/>
      <c r="AL145" s="58"/>
      <c r="AM145" s="58"/>
      <c r="AN145" s="88"/>
    </row>
    <row r="146" hidden="1">
      <c r="A146" s="33" t="str">
        <f t="shared" si="2"/>
        <v>E90D</v>
      </c>
      <c r="B146" s="34" t="str">
        <f>IFERROR(__xludf.DUMMYFUNCTION("REGEXREPLACE($H146, ""(?i)^8301(E000|E100|E200|E300)?"", """")"),"E90D001F0FB9B9B9B9B959190248AE")</f>
        <v>E90D001F0FB9B9B9B9B959190248AE</v>
      </c>
      <c r="C146" s="36" t="s">
        <v>30</v>
      </c>
      <c r="D146" s="36" t="s">
        <v>503</v>
      </c>
      <c r="E146" s="36" t="s">
        <v>106</v>
      </c>
      <c r="F146" s="36" t="s">
        <v>107</v>
      </c>
      <c r="G146" s="37">
        <v>46220.0</v>
      </c>
      <c r="H146" s="38" t="s">
        <v>267</v>
      </c>
      <c r="I146" s="36"/>
      <c r="J146" s="39" t="str">
        <f t="shared" si="3"/>
        <v>0x0D</v>
      </c>
      <c r="K146" s="40" t="str">
        <f t="shared" si="4"/>
        <v>0x00</v>
      </c>
      <c r="L146" s="40" t="str">
        <f t="shared" si="5"/>
        <v>0x1F</v>
      </c>
      <c r="M146" s="42">
        <v>5.0</v>
      </c>
      <c r="N146" s="42" t="str">
        <f t="shared" si="27"/>
        <v>0x0F</v>
      </c>
      <c r="O146" s="48" t="str">
        <f t="shared" si="28"/>
        <v>0xB9</v>
      </c>
      <c r="P146" s="48" t="str">
        <f t="shared" si="29"/>
        <v>0xB9</v>
      </c>
      <c r="Q146" s="48" t="str">
        <f t="shared" si="53"/>
        <v>0xB9</v>
      </c>
      <c r="R146" s="42"/>
      <c r="S146" s="48" t="str">
        <f t="shared" si="54"/>
        <v>0xB9</v>
      </c>
      <c r="T146" s="48" t="str">
        <f t="shared" si="55"/>
        <v>0xB9</v>
      </c>
      <c r="U146" s="48"/>
      <c r="V146" s="40">
        <v>21.0</v>
      </c>
      <c r="W146" s="40" t="str">
        <f t="shared" ref="W146:AA146" si="63">"0x" &amp; MID($B146,$V146  + 2*(COLUMN() - COLUMN($W146)), 2)</f>
        <v>0x59</v>
      </c>
      <c r="X146" s="40" t="str">
        <f t="shared" si="63"/>
        <v>0x19</v>
      </c>
      <c r="Y146" s="40" t="str">
        <f t="shared" si="63"/>
        <v>0x02</v>
      </c>
      <c r="Z146" s="40" t="str">
        <f t="shared" si="63"/>
        <v>0x48</v>
      </c>
      <c r="AA146" s="40" t="str">
        <f t="shared" si="63"/>
        <v>0xAE</v>
      </c>
      <c r="AB146" s="40"/>
      <c r="AC146" s="40"/>
      <c r="AD146" s="40"/>
      <c r="AE146" s="40"/>
      <c r="AF146" s="40"/>
      <c r="AG146" s="40"/>
      <c r="AH146" s="40"/>
      <c r="AI146" s="40"/>
      <c r="AJ146" s="40"/>
      <c r="AK146" s="40"/>
      <c r="AL146" s="40"/>
      <c r="AM146" s="40"/>
      <c r="AN146" s="75"/>
    </row>
    <row r="147" hidden="1">
      <c r="A147" s="51" t="str">
        <f t="shared" si="2"/>
        <v>E90D</v>
      </c>
      <c r="B147" s="52" t="str">
        <f>IFERROR(__xludf.DUMMYFUNCTION("REGEXREPLACE($H147, ""(?i)^8301(E000|E100|E200|E300)?"", """")"),"E90D0048D255004B69D25822323078")</f>
        <v>E90D0048D255004B69D25822323078</v>
      </c>
      <c r="C147" s="65" t="s">
        <v>198</v>
      </c>
      <c r="D147" s="65" t="s">
        <v>485</v>
      </c>
      <c r="E147" s="65" t="s">
        <v>106</v>
      </c>
      <c r="F147" s="65" t="s">
        <v>107</v>
      </c>
      <c r="G147" s="67">
        <v>46220.0</v>
      </c>
      <c r="H147" s="68" t="s">
        <v>269</v>
      </c>
      <c r="I147" s="65"/>
      <c r="J147" s="57" t="str">
        <f t="shared" si="3"/>
        <v>0x0D</v>
      </c>
      <c r="K147" s="58" t="str">
        <f t="shared" si="4"/>
        <v>0x00</v>
      </c>
      <c r="L147" s="58" t="str">
        <f t="shared" si="5"/>
        <v>0x48</v>
      </c>
      <c r="M147" s="170">
        <v>2.0</v>
      </c>
      <c r="N147" s="83" t="str">
        <f t="shared" ref="N147:N158" si="64">"0x"&amp;MID($B147,9,4)</f>
        <v>0xD255</v>
      </c>
      <c r="O147" s="84" t="str">
        <f t="shared" ref="O147:O158" si="65">"0x"&amp;MID($B147,13,2)</f>
        <v>0x00</v>
      </c>
      <c r="P147" s="84" t="str">
        <f t="shared" ref="P147:P158" si="66">"0x"&amp;MID($B147,15,2)</f>
        <v>0x4B</v>
      </c>
      <c r="Q147" s="84" t="str">
        <f t="shared" ref="Q147:Q158" si="67">"0x"&amp;MID($B147,17,2)</f>
        <v>0x69</v>
      </c>
      <c r="R147" s="83" t="str">
        <f t="shared" ref="R147:R158" si="68">"0x"&amp;MID($B147,19,4)</f>
        <v>0xD258</v>
      </c>
      <c r="S147" s="84" t="str">
        <f t="shared" ref="S147:S158" si="69">"0x"&amp;MID($B147,23,2)</f>
        <v>0x22</v>
      </c>
      <c r="T147" s="84" t="str">
        <f t="shared" ref="T147:T158" si="70">"0x"&amp;MID($B147,25,2)</f>
        <v>0x32</v>
      </c>
      <c r="U147" s="84" t="str">
        <f t="shared" ref="U147:U158" si="71">"0x"&amp;MID($B147,27,2)</f>
        <v>0x30</v>
      </c>
      <c r="V147" s="90">
        <v>29.0</v>
      </c>
      <c r="W147" s="62" t="str">
        <f t="shared" ref="W147:W316" si="72">"0x" &amp; MID($B147,$V147  + 2*(COLUMN() - COLUMN($W147)), 2)</f>
        <v>0x78</v>
      </c>
      <c r="X147" s="58"/>
      <c r="Y147" s="58"/>
      <c r="Z147" s="58"/>
      <c r="AA147" s="58"/>
      <c r="AB147" s="58"/>
      <c r="AC147" s="58"/>
      <c r="AD147" s="58"/>
      <c r="AE147" s="58"/>
      <c r="AF147" s="58"/>
      <c r="AG147" s="58"/>
      <c r="AH147" s="58"/>
      <c r="AI147" s="58"/>
      <c r="AJ147" s="58"/>
      <c r="AK147" s="58"/>
      <c r="AL147" s="58"/>
      <c r="AM147" s="58"/>
      <c r="AN147" s="88"/>
    </row>
    <row r="148" hidden="1">
      <c r="A148" s="33" t="str">
        <f t="shared" si="2"/>
        <v>E90D</v>
      </c>
      <c r="B148" s="34" t="str">
        <f>IFERROR(__xludf.DUMMYFUNCTION("REGEXREPLACE($H148, ""(?i)^8301(E000|E100|E200|E300)?"", """")"),"E90D004FD255004604D25800000678")</f>
        <v>E90D004FD255004604D25800000678</v>
      </c>
      <c r="C148" s="36" t="s">
        <v>198</v>
      </c>
      <c r="D148" s="36" t="s">
        <v>519</v>
      </c>
      <c r="E148" s="36" t="s">
        <v>106</v>
      </c>
      <c r="F148" s="36" t="s">
        <v>107</v>
      </c>
      <c r="G148" s="37">
        <v>46220.0</v>
      </c>
      <c r="H148" s="38" t="s">
        <v>270</v>
      </c>
      <c r="I148" s="36"/>
      <c r="J148" s="39" t="str">
        <f t="shared" si="3"/>
        <v>0x0D</v>
      </c>
      <c r="K148" s="40" t="str">
        <f t="shared" si="4"/>
        <v>0x00</v>
      </c>
      <c r="L148" s="40" t="str">
        <f t="shared" si="5"/>
        <v>0x4F</v>
      </c>
      <c r="M148" s="169">
        <v>2.0</v>
      </c>
      <c r="N148" s="78" t="str">
        <f t="shared" si="64"/>
        <v>0xD255</v>
      </c>
      <c r="O148" s="72" t="str">
        <f t="shared" si="65"/>
        <v>0x00</v>
      </c>
      <c r="P148" s="72" t="str">
        <f t="shared" si="66"/>
        <v>0x46</v>
      </c>
      <c r="Q148" s="72" t="str">
        <f t="shared" si="67"/>
        <v>0x04</v>
      </c>
      <c r="R148" s="78" t="str">
        <f t="shared" si="68"/>
        <v>0xD258</v>
      </c>
      <c r="S148" s="72" t="str">
        <f t="shared" si="69"/>
        <v>0x00</v>
      </c>
      <c r="T148" s="72" t="str">
        <f t="shared" si="70"/>
        <v>0x00</v>
      </c>
      <c r="U148" s="72" t="str">
        <f t="shared" si="71"/>
        <v>0x06</v>
      </c>
      <c r="V148" s="73">
        <v>29.0</v>
      </c>
      <c r="W148" s="47" t="str">
        <f t="shared" si="72"/>
        <v>0x78</v>
      </c>
      <c r="X148" s="40"/>
      <c r="Y148" s="40"/>
      <c r="Z148" s="40"/>
      <c r="AA148" s="40"/>
      <c r="AB148" s="40"/>
      <c r="AC148" s="40"/>
      <c r="AD148" s="40"/>
      <c r="AE148" s="40"/>
      <c r="AF148" s="40"/>
      <c r="AG148" s="40"/>
      <c r="AH148" s="40"/>
      <c r="AI148" s="40"/>
      <c r="AJ148" s="40"/>
      <c r="AK148" s="40"/>
      <c r="AL148" s="40"/>
      <c r="AM148" s="40"/>
      <c r="AN148" s="75"/>
    </row>
    <row r="149" hidden="1">
      <c r="A149" s="51" t="str">
        <f t="shared" si="2"/>
        <v>E90D</v>
      </c>
      <c r="B149" s="52" t="str">
        <f>IFERROR(__xludf.DUMMYFUNCTION("REGEXREPLACE($H149, ""(?i)^8301(E000|E100|E200|E300)?"", """")"),"E90D004FD2555D63FCD2580000FC78")</f>
        <v>E90D004FD2555D63FCD2580000FC78</v>
      </c>
      <c r="C149" s="65" t="s">
        <v>198</v>
      </c>
      <c r="D149" s="65" t="s">
        <v>485</v>
      </c>
      <c r="E149" s="65" t="s">
        <v>106</v>
      </c>
      <c r="F149" s="65" t="s">
        <v>107</v>
      </c>
      <c r="G149" s="67">
        <v>46220.0</v>
      </c>
      <c r="H149" s="68" t="s">
        <v>271</v>
      </c>
      <c r="I149" s="65"/>
      <c r="J149" s="57" t="str">
        <f t="shared" si="3"/>
        <v>0x0D</v>
      </c>
      <c r="K149" s="58" t="str">
        <f t="shared" si="4"/>
        <v>0x00</v>
      </c>
      <c r="L149" s="58" t="str">
        <f t="shared" si="5"/>
        <v>0x4F</v>
      </c>
      <c r="M149" s="170">
        <v>2.0</v>
      </c>
      <c r="N149" s="83" t="str">
        <f t="shared" si="64"/>
        <v>0xD255</v>
      </c>
      <c r="O149" s="84" t="str">
        <f t="shared" si="65"/>
        <v>0x5D</v>
      </c>
      <c r="P149" s="84" t="str">
        <f t="shared" si="66"/>
        <v>0x63</v>
      </c>
      <c r="Q149" s="84" t="str">
        <f t="shared" si="67"/>
        <v>0xFC</v>
      </c>
      <c r="R149" s="83" t="str">
        <f t="shared" si="68"/>
        <v>0xD258</v>
      </c>
      <c r="S149" s="84" t="str">
        <f t="shared" si="69"/>
        <v>0x00</v>
      </c>
      <c r="T149" s="84" t="str">
        <f t="shared" si="70"/>
        <v>0x00</v>
      </c>
      <c r="U149" s="84" t="str">
        <f t="shared" si="71"/>
        <v>0xFC</v>
      </c>
      <c r="V149" s="90">
        <v>29.0</v>
      </c>
      <c r="W149" s="62" t="str">
        <f t="shared" si="72"/>
        <v>0x78</v>
      </c>
      <c r="X149" s="58"/>
      <c r="Y149" s="58"/>
      <c r="Z149" s="58"/>
      <c r="AA149" s="58"/>
      <c r="AB149" s="58"/>
      <c r="AC149" s="58"/>
      <c r="AD149" s="58"/>
      <c r="AE149" s="58"/>
      <c r="AF149" s="58"/>
      <c r="AG149" s="58"/>
      <c r="AH149" s="58"/>
      <c r="AI149" s="58"/>
      <c r="AJ149" s="58"/>
      <c r="AK149" s="58"/>
      <c r="AL149" s="58"/>
      <c r="AM149" s="58"/>
      <c r="AN149" s="88"/>
    </row>
    <row r="150" hidden="1">
      <c r="A150" s="33" t="str">
        <f t="shared" si="2"/>
        <v>E90D</v>
      </c>
      <c r="B150" s="34" t="str">
        <f>IFERROR(__xludf.DUMMYFUNCTION("REGEXREPLACE($H150, ""(?i)^8301(E000|E100|E200|E300)?"", """")"),"E90D005FD255FC6E1ED25800000078")</f>
        <v>E90D005FD255FC6E1ED25800000078</v>
      </c>
      <c r="C150" s="36" t="s">
        <v>198</v>
      </c>
      <c r="D150" s="36" t="s">
        <v>485</v>
      </c>
      <c r="E150" s="36" t="s">
        <v>106</v>
      </c>
      <c r="F150" s="36" t="s">
        <v>107</v>
      </c>
      <c r="G150" s="37">
        <v>46220.0</v>
      </c>
      <c r="H150" s="38" t="s">
        <v>272</v>
      </c>
      <c r="I150" s="36"/>
      <c r="J150" s="39" t="str">
        <f t="shared" si="3"/>
        <v>0x0D</v>
      </c>
      <c r="K150" s="40" t="str">
        <f t="shared" si="4"/>
        <v>0x00</v>
      </c>
      <c r="L150" s="40" t="str">
        <f t="shared" si="5"/>
        <v>0x5F</v>
      </c>
      <c r="M150" s="169">
        <v>2.0</v>
      </c>
      <c r="N150" s="78" t="str">
        <f t="shared" si="64"/>
        <v>0xD255</v>
      </c>
      <c r="O150" s="72" t="str">
        <f t="shared" si="65"/>
        <v>0xFC</v>
      </c>
      <c r="P150" s="72" t="str">
        <f t="shared" si="66"/>
        <v>0x6E</v>
      </c>
      <c r="Q150" s="72" t="str">
        <f t="shared" si="67"/>
        <v>0x1E</v>
      </c>
      <c r="R150" s="78" t="str">
        <f t="shared" si="68"/>
        <v>0xD258</v>
      </c>
      <c r="S150" s="72" t="str">
        <f t="shared" si="69"/>
        <v>0x00</v>
      </c>
      <c r="T150" s="72" t="str">
        <f t="shared" si="70"/>
        <v>0x00</v>
      </c>
      <c r="U150" s="72" t="str">
        <f t="shared" si="71"/>
        <v>0x00</v>
      </c>
      <c r="V150" s="73">
        <v>29.0</v>
      </c>
      <c r="W150" s="47" t="str">
        <f t="shared" si="72"/>
        <v>0x78</v>
      </c>
      <c r="X150" s="40"/>
      <c r="Y150" s="40"/>
      <c r="Z150" s="40"/>
      <c r="AA150" s="40"/>
      <c r="AB150" s="40"/>
      <c r="AC150" s="40"/>
      <c r="AD150" s="40"/>
      <c r="AE150" s="40"/>
      <c r="AF150" s="40"/>
      <c r="AG150" s="40"/>
      <c r="AH150" s="40"/>
      <c r="AI150" s="40"/>
      <c r="AJ150" s="40"/>
      <c r="AK150" s="40"/>
      <c r="AL150" s="40"/>
      <c r="AM150" s="40"/>
      <c r="AN150" s="75"/>
    </row>
    <row r="151" hidden="1">
      <c r="A151" s="51" t="str">
        <f t="shared" si="2"/>
        <v>E90D</v>
      </c>
      <c r="B151" s="52" t="str">
        <f>IFERROR(__xludf.DUMMYFUNCTION("REGEXREPLACE($H151, ""(?i)^8301(E000|E100|E200|E300)?"", """")"),"E90D0064D255FC0000D25864420078")</f>
        <v>E90D0064D255FC0000D25864420078</v>
      </c>
      <c r="C151" s="65" t="s">
        <v>198</v>
      </c>
      <c r="D151" s="65" t="s">
        <v>485</v>
      </c>
      <c r="E151" s="65" t="s">
        <v>106</v>
      </c>
      <c r="F151" s="65" t="s">
        <v>107</v>
      </c>
      <c r="G151" s="67">
        <v>46220.0</v>
      </c>
      <c r="H151" s="68" t="s">
        <v>273</v>
      </c>
      <c r="I151" s="65"/>
      <c r="J151" s="57" t="str">
        <f t="shared" si="3"/>
        <v>0x0D</v>
      </c>
      <c r="K151" s="58" t="str">
        <f t="shared" si="4"/>
        <v>0x00</v>
      </c>
      <c r="L151" s="58" t="str">
        <f t="shared" si="5"/>
        <v>0x64</v>
      </c>
      <c r="M151" s="170">
        <v>2.0</v>
      </c>
      <c r="N151" s="83" t="str">
        <f t="shared" si="64"/>
        <v>0xD255</v>
      </c>
      <c r="O151" s="84" t="str">
        <f t="shared" si="65"/>
        <v>0xFC</v>
      </c>
      <c r="P151" s="84" t="str">
        <f t="shared" si="66"/>
        <v>0x00</v>
      </c>
      <c r="Q151" s="84" t="str">
        <f t="shared" si="67"/>
        <v>0x00</v>
      </c>
      <c r="R151" s="83" t="str">
        <f t="shared" si="68"/>
        <v>0xD258</v>
      </c>
      <c r="S151" s="84" t="str">
        <f t="shared" si="69"/>
        <v>0x64</v>
      </c>
      <c r="T151" s="84" t="str">
        <f t="shared" si="70"/>
        <v>0x42</v>
      </c>
      <c r="U151" s="84" t="str">
        <f t="shared" si="71"/>
        <v>0x00</v>
      </c>
      <c r="V151" s="90">
        <v>29.0</v>
      </c>
      <c r="W151" s="62" t="str">
        <f t="shared" si="72"/>
        <v>0x78</v>
      </c>
      <c r="X151" s="58"/>
      <c r="Y151" s="58"/>
      <c r="Z151" s="58"/>
      <c r="AA151" s="58"/>
      <c r="AB151" s="58"/>
      <c r="AC151" s="58"/>
      <c r="AD151" s="58"/>
      <c r="AE151" s="58"/>
      <c r="AF151" s="58"/>
      <c r="AG151" s="58"/>
      <c r="AH151" s="58"/>
      <c r="AI151" s="58"/>
      <c r="AJ151" s="58"/>
      <c r="AK151" s="58"/>
      <c r="AL151" s="58"/>
      <c r="AM151" s="58"/>
      <c r="AN151" s="88"/>
    </row>
    <row r="152" hidden="1">
      <c r="A152" s="33" t="str">
        <f t="shared" si="2"/>
        <v>E90D</v>
      </c>
      <c r="B152" s="34" t="str">
        <f>IFERROR(__xludf.DUMMYFUNCTION("REGEXREPLACE($H152, ""(?i)^8301(E000|E100|E200|E300)?"", """")"),"E90D0066D255FC4800D2580000FC78")</f>
        <v>E90D0066D255FC4800D2580000FC78</v>
      </c>
      <c r="C152" s="36" t="s">
        <v>198</v>
      </c>
      <c r="D152" s="36" t="s">
        <v>485</v>
      </c>
      <c r="E152" s="36" t="s">
        <v>106</v>
      </c>
      <c r="F152" s="36" t="s">
        <v>107</v>
      </c>
      <c r="G152" s="37">
        <v>46220.0</v>
      </c>
      <c r="H152" s="38" t="s">
        <v>274</v>
      </c>
      <c r="I152" s="36"/>
      <c r="J152" s="39" t="str">
        <f t="shared" si="3"/>
        <v>0x0D</v>
      </c>
      <c r="K152" s="40" t="str">
        <f t="shared" si="4"/>
        <v>0x00</v>
      </c>
      <c r="L152" s="40" t="str">
        <f t="shared" si="5"/>
        <v>0x66</v>
      </c>
      <c r="M152" s="169">
        <v>2.0</v>
      </c>
      <c r="N152" s="78" t="str">
        <f t="shared" si="64"/>
        <v>0xD255</v>
      </c>
      <c r="O152" s="72" t="str">
        <f t="shared" si="65"/>
        <v>0xFC</v>
      </c>
      <c r="P152" s="72" t="str">
        <f t="shared" si="66"/>
        <v>0x48</v>
      </c>
      <c r="Q152" s="72" t="str">
        <f t="shared" si="67"/>
        <v>0x00</v>
      </c>
      <c r="R152" s="78" t="str">
        <f t="shared" si="68"/>
        <v>0xD258</v>
      </c>
      <c r="S152" s="72" t="str">
        <f t="shared" si="69"/>
        <v>0x00</v>
      </c>
      <c r="T152" s="72" t="str">
        <f t="shared" si="70"/>
        <v>0x00</v>
      </c>
      <c r="U152" s="72" t="str">
        <f t="shared" si="71"/>
        <v>0xFC</v>
      </c>
      <c r="V152" s="73">
        <v>29.0</v>
      </c>
      <c r="W152" s="47" t="str">
        <f t="shared" si="72"/>
        <v>0x78</v>
      </c>
      <c r="X152" s="40"/>
      <c r="Y152" s="40"/>
      <c r="Z152" s="40"/>
      <c r="AA152" s="40"/>
      <c r="AB152" s="40"/>
      <c r="AC152" s="40"/>
      <c r="AD152" s="40"/>
      <c r="AE152" s="40"/>
      <c r="AF152" s="40"/>
      <c r="AG152" s="40"/>
      <c r="AH152" s="40"/>
      <c r="AI152" s="40"/>
      <c r="AJ152" s="40"/>
      <c r="AK152" s="40"/>
      <c r="AL152" s="40"/>
      <c r="AM152" s="40"/>
      <c r="AN152" s="75"/>
    </row>
    <row r="153" hidden="1">
      <c r="A153" s="51" t="str">
        <f t="shared" si="2"/>
        <v>E90D</v>
      </c>
      <c r="B153" s="52" t="str">
        <f>IFERROR(__xludf.DUMMYFUNCTION("REGEXREPLACE($H153, ""(?i)^8301(E000|E100|E200|E300)?"", """")"),"E90D0067D2552B2E00D2582400FC78")</f>
        <v>E90D0067D2552B2E00D2582400FC78</v>
      </c>
      <c r="C153" s="65" t="s">
        <v>198</v>
      </c>
      <c r="D153" s="65" t="s">
        <v>485</v>
      </c>
      <c r="E153" s="65" t="s">
        <v>106</v>
      </c>
      <c r="F153" s="65" t="s">
        <v>107</v>
      </c>
      <c r="G153" s="67">
        <v>46220.0</v>
      </c>
      <c r="H153" s="68" t="s">
        <v>275</v>
      </c>
      <c r="I153" s="65"/>
      <c r="J153" s="57" t="str">
        <f t="shared" si="3"/>
        <v>0x0D</v>
      </c>
      <c r="K153" s="58" t="str">
        <f t="shared" si="4"/>
        <v>0x00</v>
      </c>
      <c r="L153" s="58" t="str">
        <f t="shared" si="5"/>
        <v>0x67</v>
      </c>
      <c r="M153" s="170">
        <v>2.0</v>
      </c>
      <c r="N153" s="83" t="str">
        <f t="shared" si="64"/>
        <v>0xD255</v>
      </c>
      <c r="O153" s="84" t="str">
        <f t="shared" si="65"/>
        <v>0x2B</v>
      </c>
      <c r="P153" s="84" t="str">
        <f t="shared" si="66"/>
        <v>0x2E</v>
      </c>
      <c r="Q153" s="84" t="str">
        <f t="shared" si="67"/>
        <v>0x00</v>
      </c>
      <c r="R153" s="83" t="str">
        <f t="shared" si="68"/>
        <v>0xD258</v>
      </c>
      <c r="S153" s="84" t="str">
        <f t="shared" si="69"/>
        <v>0x24</v>
      </c>
      <c r="T153" s="84" t="str">
        <f t="shared" si="70"/>
        <v>0x00</v>
      </c>
      <c r="U153" s="84" t="str">
        <f t="shared" si="71"/>
        <v>0xFC</v>
      </c>
      <c r="V153" s="90">
        <v>29.0</v>
      </c>
      <c r="W153" s="62" t="str">
        <f t="shared" si="72"/>
        <v>0x78</v>
      </c>
      <c r="X153" s="58"/>
      <c r="Y153" s="58"/>
      <c r="Z153" s="58"/>
      <c r="AA153" s="58"/>
      <c r="AB153" s="58"/>
      <c r="AC153" s="58"/>
      <c r="AD153" s="58"/>
      <c r="AE153" s="58"/>
      <c r="AF153" s="58"/>
      <c r="AG153" s="58"/>
      <c r="AH153" s="58"/>
      <c r="AI153" s="58"/>
      <c r="AJ153" s="58"/>
      <c r="AK153" s="58"/>
      <c r="AL153" s="58"/>
      <c r="AM153" s="58"/>
      <c r="AN153" s="88"/>
    </row>
    <row r="154" hidden="1">
      <c r="A154" s="33" t="str">
        <f t="shared" si="2"/>
        <v>E90D</v>
      </c>
      <c r="B154" s="34" t="str">
        <f>IFERROR(__xludf.DUMMYFUNCTION("REGEXREPLACE($H154, ""(?i)^8301(E000|E100|E200|E300)?"", """")"),"E90D006AD255FC0000D25800FC0078")</f>
        <v>E90D006AD255FC0000D25800FC0078</v>
      </c>
      <c r="C154" s="36" t="s">
        <v>198</v>
      </c>
      <c r="D154" s="36" t="s">
        <v>485</v>
      </c>
      <c r="E154" s="36" t="s">
        <v>106</v>
      </c>
      <c r="F154" s="36" t="s">
        <v>107</v>
      </c>
      <c r="G154" s="37">
        <v>46220.0</v>
      </c>
      <c r="H154" s="38" t="s">
        <v>276</v>
      </c>
      <c r="I154" s="36"/>
      <c r="J154" s="39" t="str">
        <f t="shared" si="3"/>
        <v>0x0D</v>
      </c>
      <c r="K154" s="40" t="str">
        <f t="shared" si="4"/>
        <v>0x00</v>
      </c>
      <c r="L154" s="40" t="str">
        <f t="shared" si="5"/>
        <v>0x6A</v>
      </c>
      <c r="M154" s="169">
        <v>2.0</v>
      </c>
      <c r="N154" s="78" t="str">
        <f t="shared" si="64"/>
        <v>0xD255</v>
      </c>
      <c r="O154" s="72" t="str">
        <f t="shared" si="65"/>
        <v>0xFC</v>
      </c>
      <c r="P154" s="72" t="str">
        <f t="shared" si="66"/>
        <v>0x00</v>
      </c>
      <c r="Q154" s="72" t="str">
        <f t="shared" si="67"/>
        <v>0x00</v>
      </c>
      <c r="R154" s="78" t="str">
        <f t="shared" si="68"/>
        <v>0xD258</v>
      </c>
      <c r="S154" s="72" t="str">
        <f t="shared" si="69"/>
        <v>0x00</v>
      </c>
      <c r="T154" s="72" t="str">
        <f t="shared" si="70"/>
        <v>0xFC</v>
      </c>
      <c r="U154" s="72" t="str">
        <f t="shared" si="71"/>
        <v>0x00</v>
      </c>
      <c r="V154" s="73">
        <v>29.0</v>
      </c>
      <c r="W154" s="47" t="str">
        <f t="shared" si="72"/>
        <v>0x78</v>
      </c>
      <c r="X154" s="40"/>
      <c r="Y154" s="40"/>
      <c r="Z154" s="40"/>
      <c r="AA154" s="40"/>
      <c r="AB154" s="40"/>
      <c r="AC154" s="40"/>
      <c r="AD154" s="40"/>
      <c r="AE154" s="40"/>
      <c r="AF154" s="40"/>
      <c r="AG154" s="40"/>
      <c r="AH154" s="40"/>
      <c r="AI154" s="40"/>
      <c r="AJ154" s="40"/>
      <c r="AK154" s="40"/>
      <c r="AL154" s="40"/>
      <c r="AM154" s="40"/>
      <c r="AN154" s="75"/>
    </row>
    <row r="155" hidden="1">
      <c r="A155" s="51" t="str">
        <f t="shared" si="2"/>
        <v>E90D</v>
      </c>
      <c r="B155" s="52" t="str">
        <f>IFERROR(__xludf.DUMMYFUNCTION("REGEXREPLACE($H155, ""(?i)^8301(E000|E100|E200|E300)?"", """")"),"E90D006CD255203231D25800006478")</f>
        <v>E90D006CD255203231D25800006478</v>
      </c>
      <c r="C155" s="65" t="s">
        <v>198</v>
      </c>
      <c r="D155" s="65" t="s">
        <v>485</v>
      </c>
      <c r="E155" s="65" t="s">
        <v>106</v>
      </c>
      <c r="F155" s="65" t="s">
        <v>107</v>
      </c>
      <c r="G155" s="67">
        <v>46220.0</v>
      </c>
      <c r="H155" s="68" t="s">
        <v>277</v>
      </c>
      <c r="I155" s="65"/>
      <c r="J155" s="57" t="str">
        <f t="shared" si="3"/>
        <v>0x0D</v>
      </c>
      <c r="K155" s="58" t="str">
        <f t="shared" si="4"/>
        <v>0x00</v>
      </c>
      <c r="L155" s="58" t="str">
        <f t="shared" si="5"/>
        <v>0x6C</v>
      </c>
      <c r="M155" s="170">
        <v>2.0</v>
      </c>
      <c r="N155" s="83" t="str">
        <f t="shared" si="64"/>
        <v>0xD255</v>
      </c>
      <c r="O155" s="84" t="str">
        <f t="shared" si="65"/>
        <v>0x20</v>
      </c>
      <c r="P155" s="84" t="str">
        <f t="shared" si="66"/>
        <v>0x32</v>
      </c>
      <c r="Q155" s="84" t="str">
        <f t="shared" si="67"/>
        <v>0x31</v>
      </c>
      <c r="R155" s="83" t="str">
        <f t="shared" si="68"/>
        <v>0xD258</v>
      </c>
      <c r="S155" s="84" t="str">
        <f t="shared" si="69"/>
        <v>0x00</v>
      </c>
      <c r="T155" s="84" t="str">
        <f t="shared" si="70"/>
        <v>0x00</v>
      </c>
      <c r="U155" s="84" t="str">
        <f t="shared" si="71"/>
        <v>0x64</v>
      </c>
      <c r="V155" s="90">
        <v>29.0</v>
      </c>
      <c r="W155" s="62" t="str">
        <f t="shared" si="72"/>
        <v>0x78</v>
      </c>
      <c r="X155" s="58"/>
      <c r="Y155" s="58"/>
      <c r="Z155" s="58"/>
      <c r="AA155" s="58"/>
      <c r="AB155" s="58"/>
      <c r="AC155" s="58"/>
      <c r="AD155" s="58"/>
      <c r="AE155" s="58"/>
      <c r="AF155" s="58"/>
      <c r="AG155" s="58"/>
      <c r="AH155" s="58"/>
      <c r="AI155" s="58"/>
      <c r="AJ155" s="58"/>
      <c r="AK155" s="58"/>
      <c r="AL155" s="58"/>
      <c r="AM155" s="58"/>
      <c r="AN155" s="88"/>
    </row>
    <row r="156" hidden="1">
      <c r="A156" s="33" t="str">
        <f t="shared" si="2"/>
        <v>E90D</v>
      </c>
      <c r="B156" s="34" t="str">
        <f>IFERROR(__xludf.DUMMYFUNCTION("REGEXREPLACE($H156, ""(?i)^8301(E000|E100|E200|E300)?"", """")"),"E90D007AD25500FCFCD25856004178")</f>
        <v>E90D007AD25500FCFCD25856004178</v>
      </c>
      <c r="C156" s="36" t="s">
        <v>198</v>
      </c>
      <c r="D156" s="36" t="s">
        <v>485</v>
      </c>
      <c r="E156" s="36" t="s">
        <v>106</v>
      </c>
      <c r="F156" s="36" t="s">
        <v>107</v>
      </c>
      <c r="G156" s="37">
        <v>46220.0</v>
      </c>
      <c r="H156" s="38" t="s">
        <v>278</v>
      </c>
      <c r="I156" s="36"/>
      <c r="J156" s="39" t="str">
        <f t="shared" si="3"/>
        <v>0x0D</v>
      </c>
      <c r="K156" s="40" t="str">
        <f t="shared" si="4"/>
        <v>0x00</v>
      </c>
      <c r="L156" s="40" t="str">
        <f t="shared" si="5"/>
        <v>0x7A</v>
      </c>
      <c r="M156" s="169">
        <v>2.0</v>
      </c>
      <c r="N156" s="78" t="str">
        <f t="shared" si="64"/>
        <v>0xD255</v>
      </c>
      <c r="O156" s="72" t="str">
        <f t="shared" si="65"/>
        <v>0x00</v>
      </c>
      <c r="P156" s="72" t="str">
        <f t="shared" si="66"/>
        <v>0xFC</v>
      </c>
      <c r="Q156" s="72" t="str">
        <f t="shared" si="67"/>
        <v>0xFC</v>
      </c>
      <c r="R156" s="78" t="str">
        <f t="shared" si="68"/>
        <v>0xD258</v>
      </c>
      <c r="S156" s="72" t="str">
        <f t="shared" si="69"/>
        <v>0x56</v>
      </c>
      <c r="T156" s="72" t="str">
        <f t="shared" si="70"/>
        <v>0x00</v>
      </c>
      <c r="U156" s="72" t="str">
        <f t="shared" si="71"/>
        <v>0x41</v>
      </c>
      <c r="V156" s="73">
        <v>29.0</v>
      </c>
      <c r="W156" s="47" t="str">
        <f t="shared" si="72"/>
        <v>0x78</v>
      </c>
      <c r="X156" s="40"/>
      <c r="Y156" s="40"/>
      <c r="Z156" s="40"/>
      <c r="AA156" s="40"/>
      <c r="AB156" s="40"/>
      <c r="AC156" s="40"/>
      <c r="AD156" s="40"/>
      <c r="AE156" s="40"/>
      <c r="AF156" s="40"/>
      <c r="AG156" s="40"/>
      <c r="AH156" s="40"/>
      <c r="AI156" s="40"/>
      <c r="AJ156" s="40"/>
      <c r="AK156" s="40"/>
      <c r="AL156" s="40"/>
      <c r="AM156" s="40"/>
      <c r="AN156" s="75"/>
    </row>
    <row r="157" hidden="1">
      <c r="A157" s="51" t="str">
        <f t="shared" si="2"/>
        <v>E90D</v>
      </c>
      <c r="B157" s="52" t="str">
        <f>IFERROR(__xludf.DUMMYFUNCTION("REGEXREPLACE($H157, ""(?i)^8301(E000|E100|E200|E300)?"", """")"),"E90D008AD255FC6E1ED25800000078")</f>
        <v>E90D008AD255FC6E1ED25800000078</v>
      </c>
      <c r="C157" s="65" t="s">
        <v>198</v>
      </c>
      <c r="D157" s="65" t="s">
        <v>485</v>
      </c>
      <c r="E157" s="65" t="s">
        <v>106</v>
      </c>
      <c r="F157" s="65" t="s">
        <v>107</v>
      </c>
      <c r="G157" s="67">
        <v>46220.0</v>
      </c>
      <c r="H157" s="68" t="s">
        <v>279</v>
      </c>
      <c r="I157" s="65"/>
      <c r="J157" s="57" t="str">
        <f t="shared" si="3"/>
        <v>0x0D</v>
      </c>
      <c r="K157" s="58" t="str">
        <f t="shared" si="4"/>
        <v>0x00</v>
      </c>
      <c r="L157" s="58" t="str">
        <f t="shared" si="5"/>
        <v>0x8A</v>
      </c>
      <c r="M157" s="170">
        <v>2.0</v>
      </c>
      <c r="N157" s="83" t="str">
        <f t="shared" si="64"/>
        <v>0xD255</v>
      </c>
      <c r="O157" s="84" t="str">
        <f t="shared" si="65"/>
        <v>0xFC</v>
      </c>
      <c r="P157" s="84" t="str">
        <f t="shared" si="66"/>
        <v>0x6E</v>
      </c>
      <c r="Q157" s="84" t="str">
        <f t="shared" si="67"/>
        <v>0x1E</v>
      </c>
      <c r="R157" s="83" t="str">
        <f t="shared" si="68"/>
        <v>0xD258</v>
      </c>
      <c r="S157" s="84" t="str">
        <f t="shared" si="69"/>
        <v>0x00</v>
      </c>
      <c r="T157" s="84" t="str">
        <f t="shared" si="70"/>
        <v>0x00</v>
      </c>
      <c r="U157" s="84" t="str">
        <f t="shared" si="71"/>
        <v>0x00</v>
      </c>
      <c r="V157" s="90">
        <v>29.0</v>
      </c>
      <c r="W157" s="62" t="str">
        <f t="shared" si="72"/>
        <v>0x78</v>
      </c>
      <c r="X157" s="58"/>
      <c r="Y157" s="58"/>
      <c r="Z157" s="58"/>
      <c r="AA157" s="58"/>
      <c r="AB157" s="58"/>
      <c r="AC157" s="58"/>
      <c r="AD157" s="58"/>
      <c r="AE157" s="58"/>
      <c r="AF157" s="58"/>
      <c r="AG157" s="58"/>
      <c r="AH157" s="58"/>
      <c r="AI157" s="58"/>
      <c r="AJ157" s="58"/>
      <c r="AK157" s="58"/>
      <c r="AL157" s="58"/>
      <c r="AM157" s="58"/>
      <c r="AN157" s="88"/>
    </row>
    <row r="158" hidden="1">
      <c r="A158" s="33" t="str">
        <f t="shared" si="2"/>
        <v>E90D</v>
      </c>
      <c r="B158" s="34" t="str">
        <f>IFERROR(__xludf.DUMMYFUNCTION("REGEXREPLACE($H158, ""(?i)^8301(E000|E100|E200|E300)?"", """")"),"E90D00CFD255FC6E1ED25800000078")</f>
        <v>E90D00CFD255FC6E1ED25800000078</v>
      </c>
      <c r="C158" s="36" t="s">
        <v>198</v>
      </c>
      <c r="D158" s="36" t="s">
        <v>485</v>
      </c>
      <c r="E158" s="36" t="s">
        <v>106</v>
      </c>
      <c r="F158" s="36" t="s">
        <v>107</v>
      </c>
      <c r="G158" s="37">
        <v>46220.0</v>
      </c>
      <c r="H158" s="38" t="s">
        <v>281</v>
      </c>
      <c r="I158" s="36"/>
      <c r="J158" s="39" t="str">
        <f t="shared" si="3"/>
        <v>0x0D</v>
      </c>
      <c r="K158" s="40" t="str">
        <f t="shared" si="4"/>
        <v>0x00</v>
      </c>
      <c r="L158" s="40" t="str">
        <f t="shared" si="5"/>
        <v>0xCF</v>
      </c>
      <c r="M158" s="169">
        <v>2.0</v>
      </c>
      <c r="N158" s="78" t="str">
        <f t="shared" si="64"/>
        <v>0xD255</v>
      </c>
      <c r="O158" s="72" t="str">
        <f t="shared" si="65"/>
        <v>0xFC</v>
      </c>
      <c r="P158" s="72" t="str">
        <f t="shared" si="66"/>
        <v>0x6E</v>
      </c>
      <c r="Q158" s="72" t="str">
        <f t="shared" si="67"/>
        <v>0x1E</v>
      </c>
      <c r="R158" s="78" t="str">
        <f t="shared" si="68"/>
        <v>0xD258</v>
      </c>
      <c r="S158" s="72" t="str">
        <f t="shared" si="69"/>
        <v>0x00</v>
      </c>
      <c r="T158" s="72" t="str">
        <f t="shared" si="70"/>
        <v>0x00</v>
      </c>
      <c r="U158" s="72" t="str">
        <f t="shared" si="71"/>
        <v>0x00</v>
      </c>
      <c r="V158" s="73">
        <v>29.0</v>
      </c>
      <c r="W158" s="47" t="str">
        <f t="shared" si="72"/>
        <v>0x78</v>
      </c>
      <c r="X158" s="40"/>
      <c r="Y158" s="40"/>
      <c r="Z158" s="40"/>
      <c r="AA158" s="40"/>
      <c r="AB158" s="40"/>
      <c r="AC158" s="40"/>
      <c r="AD158" s="40"/>
      <c r="AE158" s="40"/>
      <c r="AF158" s="40"/>
      <c r="AG158" s="40"/>
      <c r="AH158" s="40"/>
      <c r="AI158" s="40"/>
      <c r="AJ158" s="40"/>
      <c r="AK158" s="40"/>
      <c r="AL158" s="40"/>
      <c r="AM158" s="40"/>
      <c r="AN158" s="75"/>
    </row>
    <row r="159" hidden="1">
      <c r="A159" s="51" t="str">
        <f t="shared" si="2"/>
        <v>E90E</v>
      </c>
      <c r="B159" s="52" t="str">
        <f>IFERROR(__xludf.DUMMYFUNCTION("REGEXREPLACE($H159, ""(?i)^8301(E000|E100|E200|E300)?"", """")"),"E90E00010FB1B1B1B1B159190248AEB0")</f>
        <v>E90E00010FB1B1B1B1B159190248AEB0</v>
      </c>
      <c r="C159" s="65" t="s">
        <v>30</v>
      </c>
      <c r="D159" s="65" t="s">
        <v>503</v>
      </c>
      <c r="E159" s="65" t="s">
        <v>75</v>
      </c>
      <c r="F159" s="65" t="s">
        <v>120</v>
      </c>
      <c r="G159" s="67">
        <v>46219.0</v>
      </c>
      <c r="H159" s="68" t="s">
        <v>282</v>
      </c>
      <c r="I159" s="65"/>
      <c r="J159" s="57" t="str">
        <f t="shared" si="3"/>
        <v>0x0E</v>
      </c>
      <c r="K159" s="58" t="str">
        <f t="shared" si="4"/>
        <v>0x00</v>
      </c>
      <c r="L159" s="58" t="str">
        <f t="shared" si="5"/>
        <v>0x01</v>
      </c>
      <c r="M159" s="59">
        <v>5.0</v>
      </c>
      <c r="N159" s="59" t="str">
        <f t="shared" ref="N159:N171" si="74">"0x"&amp;MID($B159,9,2)</f>
        <v>0x0F</v>
      </c>
      <c r="O159" s="71" t="str">
        <f t="shared" ref="O159:O171" si="75">"0x"&amp;MID($B159,11,2)</f>
        <v>0xB1</v>
      </c>
      <c r="P159" s="71" t="str">
        <f t="shared" ref="P159:P171" si="76">"0x"&amp;MID($B159,13,2)</f>
        <v>0xB1</v>
      </c>
      <c r="Q159" s="71" t="str">
        <f t="shared" ref="Q159:Q171" si="77">"0x"&amp;MID($B159,15,2)</f>
        <v>0xB1</v>
      </c>
      <c r="R159" s="59"/>
      <c r="S159" s="71" t="str">
        <f t="shared" ref="S159:S171" si="78">"0x"&amp;MID($B159,17,2)</f>
        <v>0xB1</v>
      </c>
      <c r="T159" s="71" t="str">
        <f t="shared" ref="T159:T171" si="79">"0x"&amp;MID($B159,19,2)</f>
        <v>0xB1</v>
      </c>
      <c r="U159" s="71"/>
      <c r="V159" s="58">
        <v>21.0</v>
      </c>
      <c r="W159" s="58" t="str">
        <f t="shared" si="72"/>
        <v>0x59</v>
      </c>
      <c r="X159" s="58" t="str">
        <f t="shared" ref="X159:AA159" si="73">"0x" &amp; MID($B159,$V159  + 2*(COLUMN() - COLUMN($W159)), 2)</f>
        <v>0x19</v>
      </c>
      <c r="Y159" s="58" t="str">
        <f t="shared" si="73"/>
        <v>0x02</v>
      </c>
      <c r="Z159" s="58" t="str">
        <f t="shared" si="73"/>
        <v>0x48</v>
      </c>
      <c r="AA159" s="58" t="str">
        <f t="shared" si="73"/>
        <v>0xAE</v>
      </c>
      <c r="AB159" s="58"/>
      <c r="AC159" s="58"/>
      <c r="AD159" s="58"/>
      <c r="AE159" s="58"/>
      <c r="AF159" s="58"/>
      <c r="AG159" s="58"/>
      <c r="AH159" s="58"/>
      <c r="AI159" s="58"/>
      <c r="AJ159" s="58"/>
      <c r="AK159" s="58"/>
      <c r="AL159" s="58"/>
      <c r="AM159" s="58"/>
      <c r="AN159" s="88" t="str">
        <f t="shared" ref="AN159:AN195" si="81">"0x"&amp;MID($B159,31,2)</f>
        <v>0xB0</v>
      </c>
    </row>
    <row r="160" hidden="1">
      <c r="A160" s="33" t="str">
        <f t="shared" si="2"/>
        <v>E90E</v>
      </c>
      <c r="B160" s="34" t="str">
        <f>IFERROR(__xludf.DUMMYFUNCTION("REGEXREPLACE($H160, ""(?i)^8301(E000|E100|E200|E300)?"", """")"),"E90E00010FBBBBBBBBBB59190248AEB8")</f>
        <v>E90E00010FBBBBBBBBBB59190248AEB8</v>
      </c>
      <c r="C160" s="36" t="s">
        <v>30</v>
      </c>
      <c r="D160" s="36" t="s">
        <v>503</v>
      </c>
      <c r="E160" s="36" t="s">
        <v>129</v>
      </c>
      <c r="F160" s="36" t="s">
        <v>137</v>
      </c>
      <c r="G160" s="37">
        <v>46207.0</v>
      </c>
      <c r="H160" s="44" t="s">
        <v>284</v>
      </c>
      <c r="I160" s="36"/>
      <c r="J160" s="39" t="str">
        <f t="shared" si="3"/>
        <v>0x0E</v>
      </c>
      <c r="K160" s="40" t="str">
        <f t="shared" si="4"/>
        <v>0x00</v>
      </c>
      <c r="L160" s="40" t="str">
        <f t="shared" si="5"/>
        <v>0x01</v>
      </c>
      <c r="M160" s="42">
        <v>5.0</v>
      </c>
      <c r="N160" s="42" t="str">
        <f t="shared" si="74"/>
        <v>0x0F</v>
      </c>
      <c r="O160" s="48" t="str">
        <f t="shared" si="75"/>
        <v>0xBB</v>
      </c>
      <c r="P160" s="48" t="str">
        <f t="shared" si="76"/>
        <v>0xBB</v>
      </c>
      <c r="Q160" s="48" t="str">
        <f t="shared" si="77"/>
        <v>0xBB</v>
      </c>
      <c r="R160" s="42"/>
      <c r="S160" s="48" t="str">
        <f t="shared" si="78"/>
        <v>0xBB</v>
      </c>
      <c r="T160" s="48" t="str">
        <f t="shared" si="79"/>
        <v>0xBB</v>
      </c>
      <c r="U160" s="48"/>
      <c r="V160" s="40">
        <v>21.0</v>
      </c>
      <c r="W160" s="40" t="str">
        <f t="shared" si="72"/>
        <v>0x59</v>
      </c>
      <c r="X160" s="40" t="str">
        <f t="shared" ref="X160:AA160" si="80">"0x" &amp; MID($B160,$V160  + 2*(COLUMN() - COLUMN($W160)), 2)</f>
        <v>0x19</v>
      </c>
      <c r="Y160" s="40" t="str">
        <f t="shared" si="80"/>
        <v>0x02</v>
      </c>
      <c r="Z160" s="40" t="str">
        <f t="shared" si="80"/>
        <v>0x48</v>
      </c>
      <c r="AA160" s="40" t="str">
        <f t="shared" si="80"/>
        <v>0xAE</v>
      </c>
      <c r="AB160" s="40"/>
      <c r="AC160" s="40"/>
      <c r="AD160" s="40"/>
      <c r="AE160" s="40"/>
      <c r="AF160" s="40"/>
      <c r="AG160" s="40"/>
      <c r="AH160" s="40"/>
      <c r="AI160" s="40"/>
      <c r="AJ160" s="40"/>
      <c r="AK160" s="40"/>
      <c r="AL160" s="40"/>
      <c r="AM160" s="40"/>
      <c r="AN160" s="75" t="str">
        <f t="shared" si="81"/>
        <v>0xB8</v>
      </c>
    </row>
    <row r="161" hidden="1">
      <c r="A161" s="51" t="str">
        <f t="shared" si="2"/>
        <v>E90E</v>
      </c>
      <c r="B161" s="52" t="str">
        <f>IFERROR(__xludf.DUMMYFUNCTION("REGEXREPLACE($H161, ""(?i)^8301(E000|E100|E200|E300)?"", """")"),"E90E00020FB1B0B3AFAF59190248AEB0")</f>
        <v>E90E00020FB1B0B3AFAF59190248AEB0</v>
      </c>
      <c r="C161" s="65" t="s">
        <v>30</v>
      </c>
      <c r="D161" s="65" t="s">
        <v>503</v>
      </c>
      <c r="E161" s="65" t="s">
        <v>75</v>
      </c>
      <c r="F161" s="65" t="s">
        <v>120</v>
      </c>
      <c r="G161" s="67">
        <v>46219.0</v>
      </c>
      <c r="H161" s="68" t="s">
        <v>285</v>
      </c>
      <c r="I161" s="65"/>
      <c r="J161" s="57" t="str">
        <f t="shared" si="3"/>
        <v>0x0E</v>
      </c>
      <c r="K161" s="58" t="str">
        <f t="shared" si="4"/>
        <v>0x00</v>
      </c>
      <c r="L161" s="58" t="str">
        <f t="shared" si="5"/>
        <v>0x02</v>
      </c>
      <c r="M161" s="59">
        <v>5.0</v>
      </c>
      <c r="N161" s="59" t="str">
        <f t="shared" si="74"/>
        <v>0x0F</v>
      </c>
      <c r="O161" s="71" t="str">
        <f t="shared" si="75"/>
        <v>0xB1</v>
      </c>
      <c r="P161" s="71" t="str">
        <f t="shared" si="76"/>
        <v>0xB0</v>
      </c>
      <c r="Q161" s="71" t="str">
        <f t="shared" si="77"/>
        <v>0xB3</v>
      </c>
      <c r="R161" s="59"/>
      <c r="S161" s="71" t="str">
        <f t="shared" si="78"/>
        <v>0xAF</v>
      </c>
      <c r="T161" s="71" t="str">
        <f t="shared" si="79"/>
        <v>0xAF</v>
      </c>
      <c r="U161" s="71"/>
      <c r="V161" s="58">
        <v>21.0</v>
      </c>
      <c r="W161" s="58" t="str">
        <f t="shared" si="72"/>
        <v>0x59</v>
      </c>
      <c r="X161" s="58" t="str">
        <f t="shared" ref="X161:AA161" si="82">"0x" &amp; MID($B161,$V161  + 2*(COLUMN() - COLUMN($W161)), 2)</f>
        <v>0x19</v>
      </c>
      <c r="Y161" s="58" t="str">
        <f t="shared" si="82"/>
        <v>0x02</v>
      </c>
      <c r="Z161" s="58" t="str">
        <f t="shared" si="82"/>
        <v>0x48</v>
      </c>
      <c r="AA161" s="58" t="str">
        <f t="shared" si="82"/>
        <v>0xAE</v>
      </c>
      <c r="AB161" s="58"/>
      <c r="AC161" s="58"/>
      <c r="AD161" s="58"/>
      <c r="AE161" s="58"/>
      <c r="AF161" s="58"/>
      <c r="AG161" s="58"/>
      <c r="AH161" s="58"/>
      <c r="AI161" s="58"/>
      <c r="AJ161" s="58"/>
      <c r="AK161" s="58"/>
      <c r="AL161" s="58"/>
      <c r="AM161" s="58"/>
      <c r="AN161" s="88" t="str">
        <f t="shared" si="81"/>
        <v>0xB0</v>
      </c>
    </row>
    <row r="162" hidden="1">
      <c r="A162" s="33" t="str">
        <f t="shared" si="2"/>
        <v>E90E</v>
      </c>
      <c r="B162" s="34" t="str">
        <f>IFERROR(__xludf.DUMMYFUNCTION("REGEXREPLACE($H162, ""(?i)^8301(E000|E100|E200|E300)?"", """")"),"E90E00020FBBBBBBBBBB59190248AEB7")</f>
        <v>E90E00020FBBBBBBBBBB59190248AEB7</v>
      </c>
      <c r="C162" s="36" t="s">
        <v>30</v>
      </c>
      <c r="D162" s="36" t="s">
        <v>503</v>
      </c>
      <c r="E162" s="36" t="s">
        <v>129</v>
      </c>
      <c r="F162" s="36" t="s">
        <v>137</v>
      </c>
      <c r="G162" s="37">
        <v>46207.0</v>
      </c>
      <c r="H162" s="44" t="s">
        <v>287</v>
      </c>
      <c r="I162" s="36"/>
      <c r="J162" s="39" t="str">
        <f t="shared" si="3"/>
        <v>0x0E</v>
      </c>
      <c r="K162" s="40" t="str">
        <f t="shared" si="4"/>
        <v>0x00</v>
      </c>
      <c r="L162" s="40" t="str">
        <f t="shared" si="5"/>
        <v>0x02</v>
      </c>
      <c r="M162" s="42">
        <v>5.0</v>
      </c>
      <c r="N162" s="42" t="str">
        <f t="shared" si="74"/>
        <v>0x0F</v>
      </c>
      <c r="O162" s="48" t="str">
        <f t="shared" si="75"/>
        <v>0xBB</v>
      </c>
      <c r="P162" s="48" t="str">
        <f t="shared" si="76"/>
        <v>0xBB</v>
      </c>
      <c r="Q162" s="48" t="str">
        <f t="shared" si="77"/>
        <v>0xBB</v>
      </c>
      <c r="R162" s="42"/>
      <c r="S162" s="48" t="str">
        <f t="shared" si="78"/>
        <v>0xBB</v>
      </c>
      <c r="T162" s="48" t="str">
        <f t="shared" si="79"/>
        <v>0xBB</v>
      </c>
      <c r="U162" s="48"/>
      <c r="V162" s="40">
        <v>21.0</v>
      </c>
      <c r="W162" s="40" t="str">
        <f t="shared" si="72"/>
        <v>0x59</v>
      </c>
      <c r="X162" s="40" t="str">
        <f t="shared" ref="X162:AA162" si="83">"0x" &amp; MID($B162,$V162  + 2*(COLUMN() - COLUMN($W162)), 2)</f>
        <v>0x19</v>
      </c>
      <c r="Y162" s="40" t="str">
        <f t="shared" si="83"/>
        <v>0x02</v>
      </c>
      <c r="Z162" s="40" t="str">
        <f t="shared" si="83"/>
        <v>0x48</v>
      </c>
      <c r="AA162" s="40" t="str">
        <f t="shared" si="83"/>
        <v>0xAE</v>
      </c>
      <c r="AB162" s="40"/>
      <c r="AC162" s="40"/>
      <c r="AD162" s="40"/>
      <c r="AE162" s="40"/>
      <c r="AF162" s="40"/>
      <c r="AG162" s="40"/>
      <c r="AH162" s="40"/>
      <c r="AI162" s="40"/>
      <c r="AJ162" s="40"/>
      <c r="AK162" s="40"/>
      <c r="AL162" s="40"/>
      <c r="AM162" s="40"/>
      <c r="AN162" s="75" t="str">
        <f t="shared" si="81"/>
        <v>0xB7</v>
      </c>
    </row>
    <row r="163" hidden="1">
      <c r="A163" s="51" t="str">
        <f t="shared" si="2"/>
        <v>E90E</v>
      </c>
      <c r="B163" s="52" t="str">
        <f>IFERROR(__xludf.DUMMYFUNCTION("REGEXREPLACE($H163, ""(?i)^8301(E000|E100|E200|E300)?"", """")"),"E90E00040FBBBBBBBBBB59190248AEB8")</f>
        <v>E90E00040FBBBBBBBBBB59190248AEB8</v>
      </c>
      <c r="C163" s="65" t="s">
        <v>30</v>
      </c>
      <c r="D163" s="65" t="s">
        <v>503</v>
      </c>
      <c r="E163" s="65" t="s">
        <v>129</v>
      </c>
      <c r="F163" s="65" t="s">
        <v>137</v>
      </c>
      <c r="G163" s="67">
        <v>46207.0</v>
      </c>
      <c r="H163" s="56" t="s">
        <v>288</v>
      </c>
      <c r="I163" s="65"/>
      <c r="J163" s="57" t="str">
        <f t="shared" si="3"/>
        <v>0x0E</v>
      </c>
      <c r="K163" s="58" t="str">
        <f t="shared" si="4"/>
        <v>0x00</v>
      </c>
      <c r="L163" s="58" t="str">
        <f t="shared" si="5"/>
        <v>0x04</v>
      </c>
      <c r="M163" s="59">
        <v>5.0</v>
      </c>
      <c r="N163" s="59" t="str">
        <f t="shared" si="74"/>
        <v>0x0F</v>
      </c>
      <c r="O163" s="71" t="str">
        <f t="shared" si="75"/>
        <v>0xBB</v>
      </c>
      <c r="P163" s="71" t="str">
        <f t="shared" si="76"/>
        <v>0xBB</v>
      </c>
      <c r="Q163" s="71" t="str">
        <f t="shared" si="77"/>
        <v>0xBB</v>
      </c>
      <c r="R163" s="59"/>
      <c r="S163" s="71" t="str">
        <f t="shared" si="78"/>
        <v>0xBB</v>
      </c>
      <c r="T163" s="71" t="str">
        <f t="shared" si="79"/>
        <v>0xBB</v>
      </c>
      <c r="U163" s="71"/>
      <c r="V163" s="58">
        <v>21.0</v>
      </c>
      <c r="W163" s="58" t="str">
        <f t="shared" si="72"/>
        <v>0x59</v>
      </c>
      <c r="X163" s="58" t="str">
        <f t="shared" ref="X163:AA163" si="84">"0x" &amp; MID($B163,$V163  + 2*(COLUMN() - COLUMN($W163)), 2)</f>
        <v>0x19</v>
      </c>
      <c r="Y163" s="58" t="str">
        <f t="shared" si="84"/>
        <v>0x02</v>
      </c>
      <c r="Z163" s="58" t="str">
        <f t="shared" si="84"/>
        <v>0x48</v>
      </c>
      <c r="AA163" s="58" t="str">
        <f t="shared" si="84"/>
        <v>0xAE</v>
      </c>
      <c r="AB163" s="58"/>
      <c r="AC163" s="58"/>
      <c r="AD163" s="58"/>
      <c r="AE163" s="58"/>
      <c r="AF163" s="58"/>
      <c r="AG163" s="58"/>
      <c r="AH163" s="58"/>
      <c r="AI163" s="58"/>
      <c r="AJ163" s="58"/>
      <c r="AK163" s="58"/>
      <c r="AL163" s="58"/>
      <c r="AM163" s="58"/>
      <c r="AN163" s="88" t="str">
        <f t="shared" si="81"/>
        <v>0xB8</v>
      </c>
    </row>
    <row r="164" hidden="1">
      <c r="A164" s="33" t="str">
        <f t="shared" si="2"/>
        <v>E90E</v>
      </c>
      <c r="B164" s="34" t="str">
        <f>IFERROR(__xludf.DUMMYFUNCTION("REGEXREPLACE($H164, ""(?i)^8301(E000|E100|E200|E300)?"", """")"),"E90E00050FBBB5A4A4B559190248AEB7")</f>
        <v>E90E00050FBBB5A4A4B559190248AEB7</v>
      </c>
      <c r="C164" s="36" t="s">
        <v>30</v>
      </c>
      <c r="D164" s="36" t="s">
        <v>503</v>
      </c>
      <c r="E164" s="36" t="s">
        <v>75</v>
      </c>
      <c r="F164" s="36" t="s">
        <v>143</v>
      </c>
      <c r="G164" s="37">
        <v>46208.0</v>
      </c>
      <c r="H164" s="38" t="s">
        <v>289</v>
      </c>
      <c r="I164" s="36"/>
      <c r="J164" s="39" t="str">
        <f t="shared" si="3"/>
        <v>0x0E</v>
      </c>
      <c r="K164" s="40" t="str">
        <f t="shared" si="4"/>
        <v>0x00</v>
      </c>
      <c r="L164" s="40" t="str">
        <f t="shared" si="5"/>
        <v>0x05</v>
      </c>
      <c r="M164" s="42">
        <v>5.0</v>
      </c>
      <c r="N164" s="42" t="str">
        <f t="shared" si="74"/>
        <v>0x0F</v>
      </c>
      <c r="O164" s="48" t="str">
        <f t="shared" si="75"/>
        <v>0xBB</v>
      </c>
      <c r="P164" s="48" t="str">
        <f t="shared" si="76"/>
        <v>0xB5</v>
      </c>
      <c r="Q164" s="48" t="str">
        <f t="shared" si="77"/>
        <v>0xA4</v>
      </c>
      <c r="R164" s="42"/>
      <c r="S164" s="48" t="str">
        <f t="shared" si="78"/>
        <v>0xA4</v>
      </c>
      <c r="T164" s="48" t="str">
        <f t="shared" si="79"/>
        <v>0xB5</v>
      </c>
      <c r="U164" s="48"/>
      <c r="V164" s="40">
        <v>21.0</v>
      </c>
      <c r="W164" s="40" t="str">
        <f t="shared" si="72"/>
        <v>0x59</v>
      </c>
      <c r="X164" s="40" t="str">
        <f t="shared" ref="X164:AA164" si="85">"0x" &amp; MID($B164,$V164  + 2*(COLUMN() - COLUMN($W164)), 2)</f>
        <v>0x19</v>
      </c>
      <c r="Y164" s="40" t="str">
        <f t="shared" si="85"/>
        <v>0x02</v>
      </c>
      <c r="Z164" s="40" t="str">
        <f t="shared" si="85"/>
        <v>0x48</v>
      </c>
      <c r="AA164" s="40" t="str">
        <f t="shared" si="85"/>
        <v>0xAE</v>
      </c>
      <c r="AB164" s="40"/>
      <c r="AC164" s="40"/>
      <c r="AD164" s="40"/>
      <c r="AE164" s="40"/>
      <c r="AF164" s="40"/>
      <c r="AG164" s="40"/>
      <c r="AH164" s="40"/>
      <c r="AI164" s="40"/>
      <c r="AJ164" s="40"/>
      <c r="AK164" s="40"/>
      <c r="AL164" s="40"/>
      <c r="AM164" s="40"/>
      <c r="AN164" s="75" t="str">
        <f t="shared" si="81"/>
        <v>0xB7</v>
      </c>
    </row>
    <row r="165" hidden="1">
      <c r="A165" s="51" t="str">
        <f t="shared" si="2"/>
        <v>E90E</v>
      </c>
      <c r="B165" s="52" t="str">
        <f>IFERROR(__xludf.DUMMYFUNCTION("REGEXREPLACE($H165, ""(?i)^8301(E000|E100|E200|E300)?"", """")"),"E90E00060FBBBBBBBBBB59190248AEB7")</f>
        <v>E90E00060FBBBBBBBBBB59190248AEB7</v>
      </c>
      <c r="C165" s="65" t="s">
        <v>30</v>
      </c>
      <c r="D165" s="65" t="s">
        <v>503</v>
      </c>
      <c r="E165" s="65" t="s">
        <v>129</v>
      </c>
      <c r="F165" s="65" t="s">
        <v>137</v>
      </c>
      <c r="G165" s="67">
        <v>46207.0</v>
      </c>
      <c r="H165" s="56" t="s">
        <v>290</v>
      </c>
      <c r="I165" s="65"/>
      <c r="J165" s="57" t="str">
        <f t="shared" si="3"/>
        <v>0x0E</v>
      </c>
      <c r="K165" s="58" t="str">
        <f t="shared" si="4"/>
        <v>0x00</v>
      </c>
      <c r="L165" s="58" t="str">
        <f t="shared" si="5"/>
        <v>0x06</v>
      </c>
      <c r="M165" s="59">
        <v>5.0</v>
      </c>
      <c r="N165" s="59" t="str">
        <f t="shared" si="74"/>
        <v>0x0F</v>
      </c>
      <c r="O165" s="71" t="str">
        <f t="shared" si="75"/>
        <v>0xBB</v>
      </c>
      <c r="P165" s="71" t="str">
        <f t="shared" si="76"/>
        <v>0xBB</v>
      </c>
      <c r="Q165" s="71" t="str">
        <f t="shared" si="77"/>
        <v>0xBB</v>
      </c>
      <c r="R165" s="59"/>
      <c r="S165" s="71" t="str">
        <f t="shared" si="78"/>
        <v>0xBB</v>
      </c>
      <c r="T165" s="71" t="str">
        <f t="shared" si="79"/>
        <v>0xBB</v>
      </c>
      <c r="U165" s="71"/>
      <c r="V165" s="58">
        <v>21.0</v>
      </c>
      <c r="W165" s="58" t="str">
        <f t="shared" si="72"/>
        <v>0x59</v>
      </c>
      <c r="X165" s="58" t="str">
        <f t="shared" ref="X165:AA165" si="86">"0x" &amp; MID($B165,$V165  + 2*(COLUMN() - COLUMN($W165)), 2)</f>
        <v>0x19</v>
      </c>
      <c r="Y165" s="58" t="str">
        <f t="shared" si="86"/>
        <v>0x02</v>
      </c>
      <c r="Z165" s="58" t="str">
        <f t="shared" si="86"/>
        <v>0x48</v>
      </c>
      <c r="AA165" s="58" t="str">
        <f t="shared" si="86"/>
        <v>0xAE</v>
      </c>
      <c r="AB165" s="58"/>
      <c r="AC165" s="58"/>
      <c r="AD165" s="58"/>
      <c r="AE165" s="58"/>
      <c r="AF165" s="58"/>
      <c r="AG165" s="58"/>
      <c r="AH165" s="58"/>
      <c r="AI165" s="58"/>
      <c r="AJ165" s="58"/>
      <c r="AK165" s="58"/>
      <c r="AL165" s="58"/>
      <c r="AM165" s="58"/>
      <c r="AN165" s="88" t="str">
        <f t="shared" si="81"/>
        <v>0xB7</v>
      </c>
    </row>
    <row r="166" hidden="1">
      <c r="A166" s="33" t="str">
        <f t="shared" si="2"/>
        <v>E90E</v>
      </c>
      <c r="B166" s="34" t="str">
        <f>IFERROR(__xludf.DUMMYFUNCTION("REGEXREPLACE($H166, ""(?i)^8301(E000|E100|E200|E300)?"", """")"),"E90E00070FA4B5B3B9B259190248AEB8")</f>
        <v>E90E00070FA4B5B3B9B259190248AEB8</v>
      </c>
      <c r="C166" s="36" t="s">
        <v>30</v>
      </c>
      <c r="D166" s="36" t="s">
        <v>503</v>
      </c>
      <c r="E166" s="36" t="s">
        <v>129</v>
      </c>
      <c r="F166" s="69" t="s">
        <v>137</v>
      </c>
      <c r="G166" s="37">
        <v>46240.0</v>
      </c>
      <c r="H166" s="44" t="s">
        <v>291</v>
      </c>
      <c r="I166" s="36"/>
      <c r="J166" s="39" t="str">
        <f t="shared" si="3"/>
        <v>0x0E</v>
      </c>
      <c r="K166" s="40" t="str">
        <f t="shared" si="4"/>
        <v>0x00</v>
      </c>
      <c r="L166" s="40" t="str">
        <f t="shared" si="5"/>
        <v>0x07</v>
      </c>
      <c r="M166" s="42">
        <v>5.0</v>
      </c>
      <c r="N166" s="42" t="str">
        <f t="shared" si="74"/>
        <v>0x0F</v>
      </c>
      <c r="O166" s="48" t="str">
        <f t="shared" si="75"/>
        <v>0xA4</v>
      </c>
      <c r="P166" s="48" t="str">
        <f t="shared" si="76"/>
        <v>0xB5</v>
      </c>
      <c r="Q166" s="48" t="str">
        <f t="shared" si="77"/>
        <v>0xB3</v>
      </c>
      <c r="R166" s="42"/>
      <c r="S166" s="48" t="str">
        <f t="shared" si="78"/>
        <v>0xB9</v>
      </c>
      <c r="T166" s="48" t="str">
        <f t="shared" si="79"/>
        <v>0xB2</v>
      </c>
      <c r="U166" s="48"/>
      <c r="V166" s="40">
        <v>21.0</v>
      </c>
      <c r="W166" s="40" t="str">
        <f t="shared" si="72"/>
        <v>0x59</v>
      </c>
      <c r="X166" s="40" t="str">
        <f t="shared" ref="X166:AA166" si="87">"0x" &amp; MID($B166,$V166  + 2*(COLUMN() - COLUMN($W166)), 2)</f>
        <v>0x19</v>
      </c>
      <c r="Y166" s="40" t="str">
        <f t="shared" si="87"/>
        <v>0x02</v>
      </c>
      <c r="Z166" s="40" t="str">
        <f t="shared" si="87"/>
        <v>0x48</v>
      </c>
      <c r="AA166" s="40" t="str">
        <f t="shared" si="87"/>
        <v>0xAE</v>
      </c>
      <c r="AB166" s="40"/>
      <c r="AC166" s="40"/>
      <c r="AD166" s="40"/>
      <c r="AE166" s="40"/>
      <c r="AF166" s="40"/>
      <c r="AG166" s="40"/>
      <c r="AH166" s="40"/>
      <c r="AI166" s="40"/>
      <c r="AJ166" s="40"/>
      <c r="AK166" s="40"/>
      <c r="AL166" s="40"/>
      <c r="AM166" s="40"/>
      <c r="AN166" s="75" t="str">
        <f t="shared" si="81"/>
        <v>0xB8</v>
      </c>
    </row>
    <row r="167" hidden="1">
      <c r="A167" s="51" t="str">
        <f t="shared" si="2"/>
        <v>E90E</v>
      </c>
      <c r="B167" s="52" t="str">
        <f>IFERROR(__xludf.DUMMYFUNCTION("REGEXREPLACE($H167, ""(?i)^8301(E000|E100|E200|E300)?"", """")"),"E90E00070FBBBBBBBBBB59190248AEB0")</f>
        <v>E90E00070FBBBBBBBBBB59190248AEB0</v>
      </c>
      <c r="C167" s="65" t="s">
        <v>30</v>
      </c>
      <c r="D167" s="65" t="s">
        <v>503</v>
      </c>
      <c r="E167" s="65" t="s">
        <v>129</v>
      </c>
      <c r="F167" s="89" t="s">
        <v>137</v>
      </c>
      <c r="G167" s="67">
        <v>46240.0</v>
      </c>
      <c r="H167" s="56" t="s">
        <v>322</v>
      </c>
      <c r="I167" s="65"/>
      <c r="J167" s="57" t="str">
        <f t="shared" si="3"/>
        <v>0x0E</v>
      </c>
      <c r="K167" s="58" t="str">
        <f t="shared" si="4"/>
        <v>0x00</v>
      </c>
      <c r="L167" s="58" t="str">
        <f t="shared" si="5"/>
        <v>0x07</v>
      </c>
      <c r="M167" s="59">
        <v>5.0</v>
      </c>
      <c r="N167" s="59" t="str">
        <f t="shared" si="74"/>
        <v>0x0F</v>
      </c>
      <c r="O167" s="71" t="str">
        <f t="shared" si="75"/>
        <v>0xBB</v>
      </c>
      <c r="P167" s="71" t="str">
        <f t="shared" si="76"/>
        <v>0xBB</v>
      </c>
      <c r="Q167" s="71" t="str">
        <f t="shared" si="77"/>
        <v>0xBB</v>
      </c>
      <c r="R167" s="59"/>
      <c r="S167" s="71" t="str">
        <f t="shared" si="78"/>
        <v>0xBB</v>
      </c>
      <c r="T167" s="71" t="str">
        <f t="shared" si="79"/>
        <v>0xBB</v>
      </c>
      <c r="U167" s="71"/>
      <c r="V167" s="58">
        <v>21.0</v>
      </c>
      <c r="W167" s="58" t="str">
        <f t="shared" si="72"/>
        <v>0x59</v>
      </c>
      <c r="X167" s="58" t="str">
        <f t="shared" ref="X167:AA167" si="88">"0x" &amp; MID($B167,$V167  + 2*(COLUMN() - COLUMN($W167)), 2)</f>
        <v>0x19</v>
      </c>
      <c r="Y167" s="58" t="str">
        <f t="shared" si="88"/>
        <v>0x02</v>
      </c>
      <c r="Z167" s="58" t="str">
        <f t="shared" si="88"/>
        <v>0x48</v>
      </c>
      <c r="AA167" s="58" t="str">
        <f t="shared" si="88"/>
        <v>0xAE</v>
      </c>
      <c r="AB167" s="58"/>
      <c r="AC167" s="58"/>
      <c r="AD167" s="58"/>
      <c r="AE167" s="58"/>
      <c r="AF167" s="58"/>
      <c r="AG167" s="58"/>
      <c r="AH167" s="58"/>
      <c r="AI167" s="58"/>
      <c r="AJ167" s="58"/>
      <c r="AK167" s="58"/>
      <c r="AL167" s="58"/>
      <c r="AM167" s="58"/>
      <c r="AN167" s="88" t="str">
        <f t="shared" si="81"/>
        <v>0xB0</v>
      </c>
    </row>
    <row r="168" hidden="1">
      <c r="A168" s="33" t="str">
        <f t="shared" si="2"/>
        <v>E90E</v>
      </c>
      <c r="B168" s="34" t="str">
        <f>IFERROR(__xludf.DUMMYFUNCTION("REGEXREPLACE($H168, ""(?i)^8301(E000|E100|E200|E300)?"", """")"),"E90E000B0FB6B6A3B6A359190248AEB0")</f>
        <v>E90E000B0FB6B6A3B6A359190248AEB0</v>
      </c>
      <c r="C168" s="36" t="s">
        <v>30</v>
      </c>
      <c r="D168" s="36" t="s">
        <v>503</v>
      </c>
      <c r="E168" s="36" t="s">
        <v>106</v>
      </c>
      <c r="F168" s="36" t="s">
        <v>175</v>
      </c>
      <c r="G168" s="37">
        <v>46220.0</v>
      </c>
      <c r="H168" s="38" t="s">
        <v>292</v>
      </c>
      <c r="I168" s="36"/>
      <c r="J168" s="39" t="str">
        <f t="shared" si="3"/>
        <v>0x0E</v>
      </c>
      <c r="K168" s="40" t="str">
        <f t="shared" si="4"/>
        <v>0x00</v>
      </c>
      <c r="L168" s="40" t="str">
        <f t="shared" si="5"/>
        <v>0x0B</v>
      </c>
      <c r="M168" s="42">
        <v>5.0</v>
      </c>
      <c r="N168" s="42" t="str">
        <f t="shared" si="74"/>
        <v>0x0F</v>
      </c>
      <c r="O168" s="48" t="str">
        <f t="shared" si="75"/>
        <v>0xB6</v>
      </c>
      <c r="P168" s="48" t="str">
        <f t="shared" si="76"/>
        <v>0xB6</v>
      </c>
      <c r="Q168" s="48" t="str">
        <f t="shared" si="77"/>
        <v>0xA3</v>
      </c>
      <c r="R168" s="42"/>
      <c r="S168" s="48" t="str">
        <f t="shared" si="78"/>
        <v>0xB6</v>
      </c>
      <c r="T168" s="48" t="str">
        <f t="shared" si="79"/>
        <v>0xA3</v>
      </c>
      <c r="U168" s="48"/>
      <c r="V168" s="40">
        <v>21.0</v>
      </c>
      <c r="W168" s="40" t="str">
        <f t="shared" si="72"/>
        <v>0x59</v>
      </c>
      <c r="X168" s="40" t="str">
        <f t="shared" ref="X168:AA168" si="89">"0x" &amp; MID($B168,$V168  + 2*(COLUMN() - COLUMN($W168)), 2)</f>
        <v>0x19</v>
      </c>
      <c r="Y168" s="40" t="str">
        <f t="shared" si="89"/>
        <v>0x02</v>
      </c>
      <c r="Z168" s="40" t="str">
        <f t="shared" si="89"/>
        <v>0x48</v>
      </c>
      <c r="AA168" s="40" t="str">
        <f t="shared" si="89"/>
        <v>0xAE</v>
      </c>
      <c r="AB168" s="40"/>
      <c r="AC168" s="40"/>
      <c r="AD168" s="40"/>
      <c r="AE168" s="40"/>
      <c r="AF168" s="40"/>
      <c r="AG168" s="40"/>
      <c r="AH168" s="40"/>
      <c r="AI168" s="40"/>
      <c r="AJ168" s="40"/>
      <c r="AK168" s="40"/>
      <c r="AL168" s="40"/>
      <c r="AM168" s="40"/>
      <c r="AN168" s="75" t="str">
        <f t="shared" si="81"/>
        <v>0xB0</v>
      </c>
    </row>
    <row r="169" hidden="1">
      <c r="A169" s="51" t="str">
        <f t="shared" si="2"/>
        <v>E90E</v>
      </c>
      <c r="B169" s="52" t="str">
        <f>IFERROR(__xludf.DUMMYFUNCTION("REGEXREPLACE($H169, ""(?i)^8301(E000|E100|E200|E300)?"", """")"),"E90E00110FA3A3A3A3A359190248AEB0")</f>
        <v>E90E00110FA3A3A3A3A359190248AEB0</v>
      </c>
      <c r="C169" s="65" t="s">
        <v>30</v>
      </c>
      <c r="D169" s="65" t="s">
        <v>503</v>
      </c>
      <c r="E169" s="65" t="s">
        <v>75</v>
      </c>
      <c r="F169" s="65" t="s">
        <v>120</v>
      </c>
      <c r="G169" s="67">
        <v>46219.0</v>
      </c>
      <c r="H169" s="68" t="s">
        <v>293</v>
      </c>
      <c r="I169" s="65"/>
      <c r="J169" s="57" t="str">
        <f t="shared" si="3"/>
        <v>0x0E</v>
      </c>
      <c r="K169" s="58" t="str">
        <f t="shared" si="4"/>
        <v>0x00</v>
      </c>
      <c r="L169" s="58" t="str">
        <f t="shared" si="5"/>
        <v>0x11</v>
      </c>
      <c r="M169" s="59">
        <v>5.0</v>
      </c>
      <c r="N169" s="59" t="str">
        <f t="shared" si="74"/>
        <v>0x0F</v>
      </c>
      <c r="O169" s="71" t="str">
        <f t="shared" si="75"/>
        <v>0xA3</v>
      </c>
      <c r="P169" s="71" t="str">
        <f t="shared" si="76"/>
        <v>0xA3</v>
      </c>
      <c r="Q169" s="71" t="str">
        <f t="shared" si="77"/>
        <v>0xA3</v>
      </c>
      <c r="R169" s="59"/>
      <c r="S169" s="71" t="str">
        <f t="shared" si="78"/>
        <v>0xA3</v>
      </c>
      <c r="T169" s="71" t="str">
        <f t="shared" si="79"/>
        <v>0xA3</v>
      </c>
      <c r="U169" s="71"/>
      <c r="V169" s="58">
        <v>21.0</v>
      </c>
      <c r="W169" s="58" t="str">
        <f t="shared" si="72"/>
        <v>0x59</v>
      </c>
      <c r="X169" s="58" t="str">
        <f t="shared" ref="X169:AA169" si="90">"0x" &amp; MID($B169,$V169  + 2*(COLUMN() - COLUMN($W169)), 2)</f>
        <v>0x19</v>
      </c>
      <c r="Y169" s="58" t="str">
        <f t="shared" si="90"/>
        <v>0x02</v>
      </c>
      <c r="Z169" s="58" t="str">
        <f t="shared" si="90"/>
        <v>0x48</v>
      </c>
      <c r="AA169" s="58" t="str">
        <f t="shared" si="90"/>
        <v>0xAE</v>
      </c>
      <c r="AB169" s="58"/>
      <c r="AC169" s="58"/>
      <c r="AD169" s="58"/>
      <c r="AE169" s="58"/>
      <c r="AF169" s="58"/>
      <c r="AG169" s="58"/>
      <c r="AH169" s="58"/>
      <c r="AI169" s="58"/>
      <c r="AJ169" s="58"/>
      <c r="AK169" s="58"/>
      <c r="AL169" s="58"/>
      <c r="AM169" s="58"/>
      <c r="AN169" s="88" t="str">
        <f t="shared" si="81"/>
        <v>0xB0</v>
      </c>
    </row>
    <row r="170" hidden="1">
      <c r="A170" s="33" t="str">
        <f t="shared" si="2"/>
        <v>E90E</v>
      </c>
      <c r="B170" s="34" t="str">
        <f>IFERROR(__xludf.DUMMYFUNCTION("REGEXREPLACE($H170, ""(?i)^8301(E000|E100|E200|E300)?"", """")"),"E90E00110FB1B1B1B1B159190248AEB0")</f>
        <v>E90E00110FB1B1B1B1B159190248AEB0</v>
      </c>
      <c r="C170" s="36" t="s">
        <v>30</v>
      </c>
      <c r="D170" s="36" t="s">
        <v>503</v>
      </c>
      <c r="E170" s="36" t="s">
        <v>75</v>
      </c>
      <c r="F170" s="36" t="s">
        <v>120</v>
      </c>
      <c r="G170" s="37">
        <v>46219.0</v>
      </c>
      <c r="H170" s="38" t="s">
        <v>295</v>
      </c>
      <c r="I170" s="36"/>
      <c r="J170" s="39" t="str">
        <f t="shared" si="3"/>
        <v>0x0E</v>
      </c>
      <c r="K170" s="40" t="str">
        <f t="shared" si="4"/>
        <v>0x00</v>
      </c>
      <c r="L170" s="40" t="str">
        <f t="shared" si="5"/>
        <v>0x11</v>
      </c>
      <c r="M170" s="42">
        <v>5.0</v>
      </c>
      <c r="N170" s="42" t="str">
        <f t="shared" si="74"/>
        <v>0x0F</v>
      </c>
      <c r="O170" s="48" t="str">
        <f t="shared" si="75"/>
        <v>0xB1</v>
      </c>
      <c r="P170" s="48" t="str">
        <f t="shared" si="76"/>
        <v>0xB1</v>
      </c>
      <c r="Q170" s="48" t="str">
        <f t="shared" si="77"/>
        <v>0xB1</v>
      </c>
      <c r="R170" s="42"/>
      <c r="S170" s="48" t="str">
        <f t="shared" si="78"/>
        <v>0xB1</v>
      </c>
      <c r="T170" s="48" t="str">
        <f t="shared" si="79"/>
        <v>0xB1</v>
      </c>
      <c r="U170" s="48"/>
      <c r="V170" s="40">
        <v>21.0</v>
      </c>
      <c r="W170" s="40" t="str">
        <f t="shared" si="72"/>
        <v>0x59</v>
      </c>
      <c r="X170" s="40" t="str">
        <f t="shared" ref="X170:AA170" si="91">"0x" &amp; MID($B170,$V170  + 2*(COLUMN() - COLUMN($W170)), 2)</f>
        <v>0x19</v>
      </c>
      <c r="Y170" s="40" t="str">
        <f t="shared" si="91"/>
        <v>0x02</v>
      </c>
      <c r="Z170" s="40" t="str">
        <f t="shared" si="91"/>
        <v>0x48</v>
      </c>
      <c r="AA170" s="40" t="str">
        <f t="shared" si="91"/>
        <v>0xAE</v>
      </c>
      <c r="AB170" s="40"/>
      <c r="AC170" s="40"/>
      <c r="AD170" s="40"/>
      <c r="AE170" s="40"/>
      <c r="AF170" s="40"/>
      <c r="AG170" s="40"/>
      <c r="AH170" s="40"/>
      <c r="AI170" s="40"/>
      <c r="AJ170" s="40"/>
      <c r="AK170" s="40"/>
      <c r="AL170" s="40"/>
      <c r="AM170" s="40"/>
      <c r="AN170" s="75" t="str">
        <f t="shared" si="81"/>
        <v>0xB0</v>
      </c>
    </row>
    <row r="171" hidden="1">
      <c r="A171" s="51" t="str">
        <f t="shared" si="2"/>
        <v>E90E</v>
      </c>
      <c r="B171" s="52" t="str">
        <f>IFERROR(__xludf.DUMMYFUNCTION("REGEXREPLACE($H171, ""(?i)^8301(E000|E100|E200|E300)?"", """")"),"E90E00110FB2B2B2B2B259190248AEB0")</f>
        <v>E90E00110FB2B2B2B2B259190248AEB0</v>
      </c>
      <c r="C171" s="65" t="s">
        <v>30</v>
      </c>
      <c r="D171" s="65" t="s">
        <v>503</v>
      </c>
      <c r="E171" s="65" t="s">
        <v>129</v>
      </c>
      <c r="F171" s="65" t="s">
        <v>137</v>
      </c>
      <c r="G171" s="67">
        <v>46207.0</v>
      </c>
      <c r="H171" s="56" t="s">
        <v>296</v>
      </c>
      <c r="I171" s="65"/>
      <c r="J171" s="57" t="str">
        <f t="shared" si="3"/>
        <v>0x0E</v>
      </c>
      <c r="K171" s="58" t="str">
        <f t="shared" si="4"/>
        <v>0x00</v>
      </c>
      <c r="L171" s="58" t="str">
        <f t="shared" si="5"/>
        <v>0x11</v>
      </c>
      <c r="M171" s="59">
        <v>5.0</v>
      </c>
      <c r="N171" s="59" t="str">
        <f t="shared" si="74"/>
        <v>0x0F</v>
      </c>
      <c r="O171" s="71" t="str">
        <f t="shared" si="75"/>
        <v>0xB2</v>
      </c>
      <c r="P171" s="71" t="str">
        <f t="shared" si="76"/>
        <v>0xB2</v>
      </c>
      <c r="Q171" s="71" t="str">
        <f t="shared" si="77"/>
        <v>0xB2</v>
      </c>
      <c r="R171" s="59"/>
      <c r="S171" s="71" t="str">
        <f t="shared" si="78"/>
        <v>0xB2</v>
      </c>
      <c r="T171" s="71" t="str">
        <f t="shared" si="79"/>
        <v>0xB2</v>
      </c>
      <c r="U171" s="71"/>
      <c r="V171" s="58">
        <v>21.0</v>
      </c>
      <c r="W171" s="58" t="str">
        <f t="shared" si="72"/>
        <v>0x59</v>
      </c>
      <c r="X171" s="58" t="str">
        <f t="shared" ref="X171:AA171" si="92">"0x" &amp; MID($B171,$V171  + 2*(COLUMN() - COLUMN($W171)), 2)</f>
        <v>0x19</v>
      </c>
      <c r="Y171" s="58" t="str">
        <f t="shared" si="92"/>
        <v>0x02</v>
      </c>
      <c r="Z171" s="58" t="str">
        <f t="shared" si="92"/>
        <v>0x48</v>
      </c>
      <c r="AA171" s="58" t="str">
        <f t="shared" si="92"/>
        <v>0xAE</v>
      </c>
      <c r="AB171" s="58"/>
      <c r="AC171" s="58"/>
      <c r="AD171" s="58"/>
      <c r="AE171" s="58"/>
      <c r="AF171" s="58"/>
      <c r="AG171" s="58"/>
      <c r="AH171" s="58"/>
      <c r="AI171" s="58"/>
      <c r="AJ171" s="58"/>
      <c r="AK171" s="58"/>
      <c r="AL171" s="58"/>
      <c r="AM171" s="58"/>
      <c r="AN171" s="88" t="str">
        <f t="shared" si="81"/>
        <v>0xB0</v>
      </c>
    </row>
    <row r="172" hidden="1">
      <c r="A172" s="33" t="str">
        <f t="shared" si="2"/>
        <v>E90E</v>
      </c>
      <c r="B172" s="34" t="str">
        <f>IFERROR(__xludf.DUMMYFUNCTION("REGEXREPLACE($H172, ""(?i)^8301(E000|E100|E200|E300)?"", """")"),"E90E0011D255000000D25800000078B0")</f>
        <v>E90E0011D255000000D25800000078B0</v>
      </c>
      <c r="C172" s="36" t="s">
        <v>198</v>
      </c>
      <c r="D172" s="35"/>
      <c r="E172" s="36" t="s">
        <v>75</v>
      </c>
      <c r="F172" s="36" t="s">
        <v>120</v>
      </c>
      <c r="G172" s="37">
        <v>46219.0</v>
      </c>
      <c r="H172" s="38" t="s">
        <v>297</v>
      </c>
      <c r="I172" s="36"/>
      <c r="J172" s="39" t="str">
        <f t="shared" si="3"/>
        <v>0x0E</v>
      </c>
      <c r="K172" s="40" t="str">
        <f t="shared" si="4"/>
        <v>0x00</v>
      </c>
      <c r="L172" s="40" t="str">
        <f t="shared" si="5"/>
        <v>0x11</v>
      </c>
      <c r="M172" s="169">
        <v>2.0</v>
      </c>
      <c r="N172" s="78" t="str">
        <f>"0x"&amp;MID($B172,9,4)</f>
        <v>0xD255</v>
      </c>
      <c r="O172" s="72" t="str">
        <f>"0x"&amp;MID($B172,13,2)</f>
        <v>0x00</v>
      </c>
      <c r="P172" s="72" t="str">
        <f>"0x"&amp;MID($B172,15,2)</f>
        <v>0x00</v>
      </c>
      <c r="Q172" s="72" t="str">
        <f>"0x"&amp;MID($B172,17,2)</f>
        <v>0x00</v>
      </c>
      <c r="R172" s="78" t="str">
        <f>"0x"&amp;MID($B172,19,4)</f>
        <v>0xD258</v>
      </c>
      <c r="S172" s="72" t="str">
        <f>"0x"&amp;MID($B172,23,2)</f>
        <v>0x00</v>
      </c>
      <c r="T172" s="72" t="str">
        <f>"0x"&amp;MID($B172,25,2)</f>
        <v>0x00</v>
      </c>
      <c r="U172" s="72" t="str">
        <f>"0x"&amp;MID($B172,27,2)</f>
        <v>0x00</v>
      </c>
      <c r="V172" s="73">
        <v>29.0</v>
      </c>
      <c r="W172" s="47" t="str">
        <f t="shared" si="72"/>
        <v>0x78</v>
      </c>
      <c r="X172" s="40"/>
      <c r="Y172" s="40"/>
      <c r="Z172" s="40"/>
      <c r="AA172" s="40"/>
      <c r="AB172" s="40"/>
      <c r="AC172" s="40"/>
      <c r="AD172" s="40"/>
      <c r="AE172" s="40"/>
      <c r="AF172" s="40"/>
      <c r="AG172" s="40"/>
      <c r="AH172" s="40"/>
      <c r="AI172" s="40"/>
      <c r="AJ172" s="40"/>
      <c r="AK172" s="40"/>
      <c r="AL172" s="40"/>
      <c r="AM172" s="40"/>
      <c r="AN172" s="75" t="str">
        <f t="shared" si="81"/>
        <v>0xB0</v>
      </c>
    </row>
    <row r="173" hidden="1">
      <c r="A173" s="51" t="str">
        <f t="shared" si="2"/>
        <v>E90E</v>
      </c>
      <c r="B173" s="52" t="str">
        <f>IFERROR(__xludf.DUMMYFUNCTION("REGEXREPLACE($H173, ""(?i)^8301(E000|E100|E200|E300)?"", """")"),"E90E00120FA4A4A4A4A459190248AEB8")</f>
        <v>E90E00120FA4A4A4A4A459190248AEB8</v>
      </c>
      <c r="C173" s="65" t="s">
        <v>30</v>
      </c>
      <c r="D173" s="65" t="s">
        <v>503</v>
      </c>
      <c r="E173" s="65" t="s">
        <v>75</v>
      </c>
      <c r="F173" s="65" t="s">
        <v>143</v>
      </c>
      <c r="G173" s="67">
        <v>46208.0</v>
      </c>
      <c r="H173" s="68" t="s">
        <v>298</v>
      </c>
      <c r="I173" s="65"/>
      <c r="J173" s="57" t="str">
        <f t="shared" si="3"/>
        <v>0x0E</v>
      </c>
      <c r="K173" s="58" t="str">
        <f t="shared" si="4"/>
        <v>0x00</v>
      </c>
      <c r="L173" s="58" t="str">
        <f t="shared" si="5"/>
        <v>0x12</v>
      </c>
      <c r="M173" s="59">
        <v>5.0</v>
      </c>
      <c r="N173" s="59" t="str">
        <f t="shared" ref="N173:N182" si="94">"0x"&amp;MID($B173,9,2)</f>
        <v>0x0F</v>
      </c>
      <c r="O173" s="71" t="str">
        <f t="shared" ref="O173:O182" si="95">"0x"&amp;MID($B173,11,2)</f>
        <v>0xA4</v>
      </c>
      <c r="P173" s="71" t="str">
        <f t="shared" ref="P173:P182" si="96">"0x"&amp;MID($B173,13,2)</f>
        <v>0xA4</v>
      </c>
      <c r="Q173" s="71" t="str">
        <f t="shared" ref="Q173:Q182" si="97">"0x"&amp;MID($B173,15,2)</f>
        <v>0xA4</v>
      </c>
      <c r="R173" s="59"/>
      <c r="S173" s="71" t="str">
        <f t="shared" ref="S173:S182" si="98">"0x"&amp;MID($B173,17,2)</f>
        <v>0xA4</v>
      </c>
      <c r="T173" s="71" t="str">
        <f t="shared" ref="T173:T182" si="99">"0x"&amp;MID($B173,19,2)</f>
        <v>0xA4</v>
      </c>
      <c r="U173" s="71"/>
      <c r="V173" s="58">
        <v>21.0</v>
      </c>
      <c r="W173" s="58" t="str">
        <f t="shared" si="72"/>
        <v>0x59</v>
      </c>
      <c r="X173" s="58" t="str">
        <f t="shared" ref="X173:AA173" si="93">"0x" &amp; MID($B173,$V173  + 2*(COLUMN() - COLUMN($W173)), 2)</f>
        <v>0x19</v>
      </c>
      <c r="Y173" s="58" t="str">
        <f t="shared" si="93"/>
        <v>0x02</v>
      </c>
      <c r="Z173" s="58" t="str">
        <f t="shared" si="93"/>
        <v>0x48</v>
      </c>
      <c r="AA173" s="58" t="str">
        <f t="shared" si="93"/>
        <v>0xAE</v>
      </c>
      <c r="AB173" s="58"/>
      <c r="AC173" s="58"/>
      <c r="AD173" s="58"/>
      <c r="AE173" s="58"/>
      <c r="AF173" s="58"/>
      <c r="AG173" s="58"/>
      <c r="AH173" s="58"/>
      <c r="AI173" s="58"/>
      <c r="AJ173" s="58"/>
      <c r="AK173" s="58"/>
      <c r="AL173" s="58"/>
      <c r="AM173" s="58"/>
      <c r="AN173" s="88" t="str">
        <f t="shared" si="81"/>
        <v>0xB8</v>
      </c>
    </row>
    <row r="174" hidden="1">
      <c r="A174" s="33" t="str">
        <f t="shared" si="2"/>
        <v>E90E</v>
      </c>
      <c r="B174" s="34" t="str">
        <f>IFERROR(__xludf.DUMMYFUNCTION("REGEXREPLACE($H174, ""(?i)^8301(E000|E100|E200|E300)?"", """")"),"E90E00120FA9AEADAEAD59190248AEB7")</f>
        <v>E90E00120FA9AEADAEAD59190248AEB7</v>
      </c>
      <c r="C174" s="36" t="s">
        <v>30</v>
      </c>
      <c r="D174" s="36" t="s">
        <v>503</v>
      </c>
      <c r="E174" s="36" t="s">
        <v>106</v>
      </c>
      <c r="F174" s="36" t="s">
        <v>175</v>
      </c>
      <c r="G174" s="37">
        <v>46220.0</v>
      </c>
      <c r="H174" s="38" t="s">
        <v>299</v>
      </c>
      <c r="I174" s="36"/>
      <c r="J174" s="39" t="str">
        <f t="shared" si="3"/>
        <v>0x0E</v>
      </c>
      <c r="K174" s="40" t="str">
        <f t="shared" si="4"/>
        <v>0x00</v>
      </c>
      <c r="L174" s="40" t="str">
        <f t="shared" si="5"/>
        <v>0x12</v>
      </c>
      <c r="M174" s="42">
        <v>5.0</v>
      </c>
      <c r="N174" s="42" t="str">
        <f t="shared" si="94"/>
        <v>0x0F</v>
      </c>
      <c r="O174" s="48" t="str">
        <f t="shared" si="95"/>
        <v>0xA9</v>
      </c>
      <c r="P174" s="48" t="str">
        <f t="shared" si="96"/>
        <v>0xAE</v>
      </c>
      <c r="Q174" s="48" t="str">
        <f t="shared" si="97"/>
        <v>0xAD</v>
      </c>
      <c r="R174" s="42"/>
      <c r="S174" s="48" t="str">
        <f t="shared" si="98"/>
        <v>0xAE</v>
      </c>
      <c r="T174" s="48" t="str">
        <f t="shared" si="99"/>
        <v>0xAD</v>
      </c>
      <c r="U174" s="48"/>
      <c r="V174" s="40">
        <v>21.0</v>
      </c>
      <c r="W174" s="40" t="str">
        <f t="shared" si="72"/>
        <v>0x59</v>
      </c>
      <c r="X174" s="40" t="str">
        <f t="shared" ref="X174:AA174" si="100">"0x" &amp; MID($B174,$V174  + 2*(COLUMN() - COLUMN($W174)), 2)</f>
        <v>0x19</v>
      </c>
      <c r="Y174" s="40" t="str">
        <f t="shared" si="100"/>
        <v>0x02</v>
      </c>
      <c r="Z174" s="40" t="str">
        <f t="shared" si="100"/>
        <v>0x48</v>
      </c>
      <c r="AA174" s="40" t="str">
        <f t="shared" si="100"/>
        <v>0xAE</v>
      </c>
      <c r="AB174" s="40"/>
      <c r="AC174" s="40"/>
      <c r="AD174" s="40"/>
      <c r="AE174" s="40"/>
      <c r="AF174" s="40"/>
      <c r="AG174" s="40"/>
      <c r="AH174" s="40"/>
      <c r="AI174" s="40"/>
      <c r="AJ174" s="40"/>
      <c r="AK174" s="40"/>
      <c r="AL174" s="40"/>
      <c r="AM174" s="40"/>
      <c r="AN174" s="75" t="str">
        <f t="shared" si="81"/>
        <v>0xB7</v>
      </c>
    </row>
    <row r="175" hidden="1">
      <c r="A175" s="51" t="str">
        <f t="shared" si="2"/>
        <v>E90E</v>
      </c>
      <c r="B175" s="52" t="str">
        <f>IFERROR(__xludf.DUMMYFUNCTION("REGEXREPLACE($H175, ""(?i)^8301(E000|E100|E200|E300)?"", """")"),"E90E00120FB5B5B5B5B559190248AEB8")</f>
        <v>E90E00120FB5B5B5B5B559190248AEB8</v>
      </c>
      <c r="C175" s="65" t="s">
        <v>30</v>
      </c>
      <c r="D175" s="65" t="s">
        <v>503</v>
      </c>
      <c r="E175" s="65" t="s">
        <v>75</v>
      </c>
      <c r="F175" s="65" t="s">
        <v>143</v>
      </c>
      <c r="G175" s="67">
        <v>46208.0</v>
      </c>
      <c r="H175" s="68" t="s">
        <v>300</v>
      </c>
      <c r="I175" s="65"/>
      <c r="J175" s="57" t="str">
        <f t="shared" si="3"/>
        <v>0x0E</v>
      </c>
      <c r="K175" s="58" t="str">
        <f t="shared" si="4"/>
        <v>0x00</v>
      </c>
      <c r="L175" s="58" t="str">
        <f t="shared" si="5"/>
        <v>0x12</v>
      </c>
      <c r="M175" s="59">
        <v>5.0</v>
      </c>
      <c r="N175" s="59" t="str">
        <f t="shared" si="94"/>
        <v>0x0F</v>
      </c>
      <c r="O175" s="71" t="str">
        <f t="shared" si="95"/>
        <v>0xB5</v>
      </c>
      <c r="P175" s="71" t="str">
        <f t="shared" si="96"/>
        <v>0xB5</v>
      </c>
      <c r="Q175" s="71" t="str">
        <f t="shared" si="97"/>
        <v>0xB5</v>
      </c>
      <c r="R175" s="59"/>
      <c r="S175" s="71" t="str">
        <f t="shared" si="98"/>
        <v>0xB5</v>
      </c>
      <c r="T175" s="71" t="str">
        <f t="shared" si="99"/>
        <v>0xB5</v>
      </c>
      <c r="U175" s="71"/>
      <c r="V175" s="58">
        <v>21.0</v>
      </c>
      <c r="W175" s="58" t="str">
        <f t="shared" si="72"/>
        <v>0x59</v>
      </c>
      <c r="X175" s="58" t="str">
        <f t="shared" ref="X175:AA175" si="101">"0x" &amp; MID($B175,$V175  + 2*(COLUMN() - COLUMN($W175)), 2)</f>
        <v>0x19</v>
      </c>
      <c r="Y175" s="58" t="str">
        <f t="shared" si="101"/>
        <v>0x02</v>
      </c>
      <c r="Z175" s="58" t="str">
        <f t="shared" si="101"/>
        <v>0x48</v>
      </c>
      <c r="AA175" s="58" t="str">
        <f t="shared" si="101"/>
        <v>0xAE</v>
      </c>
      <c r="AB175" s="58"/>
      <c r="AC175" s="58"/>
      <c r="AD175" s="58"/>
      <c r="AE175" s="58"/>
      <c r="AF175" s="58"/>
      <c r="AG175" s="58"/>
      <c r="AH175" s="58"/>
      <c r="AI175" s="58"/>
      <c r="AJ175" s="58"/>
      <c r="AK175" s="58"/>
      <c r="AL175" s="58"/>
      <c r="AM175" s="58"/>
      <c r="AN175" s="88" t="str">
        <f t="shared" si="81"/>
        <v>0xB8</v>
      </c>
    </row>
    <row r="176" hidden="1">
      <c r="A176" s="33" t="str">
        <f t="shared" si="2"/>
        <v>E90E</v>
      </c>
      <c r="B176" s="34" t="str">
        <f>IFERROR(__xludf.DUMMYFUNCTION("REGEXREPLACE($H176, ""(?i)^8301(E000|E100|E200|E300)?"", """")"),"E90E00120FBBB5A4B5A4590A0148AEB0")</f>
        <v>E90E00120FBBB5A4B5A4590A0148AEB0</v>
      </c>
      <c r="C176" s="36" t="s">
        <v>30</v>
      </c>
      <c r="D176" s="36" t="s">
        <v>503</v>
      </c>
      <c r="E176" s="36" t="s">
        <v>75</v>
      </c>
      <c r="F176" s="36" t="s">
        <v>143</v>
      </c>
      <c r="G176" s="37">
        <v>46208.0</v>
      </c>
      <c r="H176" s="38" t="s">
        <v>301</v>
      </c>
      <c r="I176" s="35"/>
      <c r="J176" s="39" t="str">
        <f t="shared" si="3"/>
        <v>0x0E</v>
      </c>
      <c r="K176" s="40" t="str">
        <f t="shared" si="4"/>
        <v>0x00</v>
      </c>
      <c r="L176" s="40" t="str">
        <f t="shared" si="5"/>
        <v>0x12</v>
      </c>
      <c r="M176" s="42">
        <v>5.0</v>
      </c>
      <c r="N176" s="42" t="str">
        <f t="shared" si="94"/>
        <v>0x0F</v>
      </c>
      <c r="O176" s="48" t="str">
        <f t="shared" si="95"/>
        <v>0xBB</v>
      </c>
      <c r="P176" s="48" t="str">
        <f t="shared" si="96"/>
        <v>0xB5</v>
      </c>
      <c r="Q176" s="48" t="str">
        <f t="shared" si="97"/>
        <v>0xA4</v>
      </c>
      <c r="R176" s="42"/>
      <c r="S176" s="48" t="str">
        <f t="shared" si="98"/>
        <v>0xB5</v>
      </c>
      <c r="T176" s="48" t="str">
        <f t="shared" si="99"/>
        <v>0xA4</v>
      </c>
      <c r="U176" s="48"/>
      <c r="V176" s="40">
        <v>21.0</v>
      </c>
      <c r="W176" s="40" t="str">
        <f t="shared" si="72"/>
        <v>0x59</v>
      </c>
      <c r="X176" s="40" t="str">
        <f t="shared" ref="X176:AA176" si="102">"0x" &amp; MID($B176,$V176  + 2*(COLUMN() - COLUMN($W176)), 2)</f>
        <v>0x0A</v>
      </c>
      <c r="Y176" s="40" t="str">
        <f t="shared" si="102"/>
        <v>0x01</v>
      </c>
      <c r="Z176" s="40" t="str">
        <f t="shared" si="102"/>
        <v>0x48</v>
      </c>
      <c r="AA176" s="40" t="str">
        <f t="shared" si="102"/>
        <v>0xAE</v>
      </c>
      <c r="AB176" s="40"/>
      <c r="AC176" s="40"/>
      <c r="AD176" s="40"/>
      <c r="AE176" s="40"/>
      <c r="AF176" s="40"/>
      <c r="AG176" s="40"/>
      <c r="AH176" s="40"/>
      <c r="AI176" s="40"/>
      <c r="AJ176" s="40"/>
      <c r="AK176" s="40"/>
      <c r="AL176" s="40"/>
      <c r="AM176" s="40"/>
      <c r="AN176" s="75" t="str">
        <f t="shared" si="81"/>
        <v>0xB0</v>
      </c>
    </row>
    <row r="177" hidden="1">
      <c r="A177" s="51" t="str">
        <f t="shared" si="2"/>
        <v>E90E</v>
      </c>
      <c r="B177" s="52" t="str">
        <f>IFERROR(__xludf.DUMMYFUNCTION("REGEXREPLACE($H177, ""(?i)^8301(E000|E100|E200|E300)?"", """")"),"E90E00120FBBBBBBBBBB59190248AEB0")</f>
        <v>E90E00120FBBBBBBBBBB59190248AEB0</v>
      </c>
      <c r="C177" s="65" t="s">
        <v>30</v>
      </c>
      <c r="D177" s="65" t="s">
        <v>503</v>
      </c>
      <c r="E177" s="65" t="s">
        <v>75</v>
      </c>
      <c r="F177" s="65" t="s">
        <v>120</v>
      </c>
      <c r="G177" s="67">
        <v>46228.0</v>
      </c>
      <c r="H177" s="68" t="s">
        <v>302</v>
      </c>
      <c r="I177" s="53"/>
      <c r="J177" s="57" t="str">
        <f t="shared" si="3"/>
        <v>0x0E</v>
      </c>
      <c r="K177" s="58" t="str">
        <f t="shared" si="4"/>
        <v>0x00</v>
      </c>
      <c r="L177" s="58" t="str">
        <f t="shared" si="5"/>
        <v>0x12</v>
      </c>
      <c r="M177" s="59">
        <v>5.0</v>
      </c>
      <c r="N177" s="59" t="str">
        <f t="shared" si="94"/>
        <v>0x0F</v>
      </c>
      <c r="O177" s="71" t="str">
        <f t="shared" si="95"/>
        <v>0xBB</v>
      </c>
      <c r="P177" s="71" t="str">
        <f t="shared" si="96"/>
        <v>0xBB</v>
      </c>
      <c r="Q177" s="71" t="str">
        <f t="shared" si="97"/>
        <v>0xBB</v>
      </c>
      <c r="R177" s="59"/>
      <c r="S177" s="71" t="str">
        <f t="shared" si="98"/>
        <v>0xBB</v>
      </c>
      <c r="T177" s="71" t="str">
        <f t="shared" si="99"/>
        <v>0xBB</v>
      </c>
      <c r="U177" s="71"/>
      <c r="V177" s="58">
        <v>21.0</v>
      </c>
      <c r="W177" s="58" t="str">
        <f t="shared" si="72"/>
        <v>0x59</v>
      </c>
      <c r="X177" s="58" t="str">
        <f t="shared" ref="X177:AA177" si="103">"0x" &amp; MID($B177,$V177  + 2*(COLUMN() - COLUMN($W177)), 2)</f>
        <v>0x19</v>
      </c>
      <c r="Y177" s="58" t="str">
        <f t="shared" si="103"/>
        <v>0x02</v>
      </c>
      <c r="Z177" s="58" t="str">
        <f t="shared" si="103"/>
        <v>0x48</v>
      </c>
      <c r="AA177" s="58" t="str">
        <f t="shared" si="103"/>
        <v>0xAE</v>
      </c>
      <c r="AB177" s="58"/>
      <c r="AC177" s="58"/>
      <c r="AD177" s="58"/>
      <c r="AE177" s="58"/>
      <c r="AF177" s="58"/>
      <c r="AG177" s="58"/>
      <c r="AH177" s="58"/>
      <c r="AI177" s="58"/>
      <c r="AJ177" s="58"/>
      <c r="AK177" s="58"/>
      <c r="AL177" s="58"/>
      <c r="AM177" s="58"/>
      <c r="AN177" s="88" t="str">
        <f t="shared" si="81"/>
        <v>0xB0</v>
      </c>
    </row>
    <row r="178" hidden="1">
      <c r="A178" s="33" t="str">
        <f t="shared" si="2"/>
        <v>E90E</v>
      </c>
      <c r="B178" s="34" t="str">
        <f>IFERROR(__xludf.DUMMYFUNCTION("REGEXREPLACE($H178, ""(?i)^8301(E000|E100|E200|E300)?"", """")"),"E90E00120FBBBBBBBBBB59190248AEB8")</f>
        <v>E90E00120FBBBBBBBBBB59190248AEB8</v>
      </c>
      <c r="C178" s="36" t="s">
        <v>30</v>
      </c>
      <c r="D178" s="36" t="s">
        <v>503</v>
      </c>
      <c r="E178" s="36" t="s">
        <v>75</v>
      </c>
      <c r="F178" s="36" t="s">
        <v>143</v>
      </c>
      <c r="G178" s="37">
        <v>46208.0</v>
      </c>
      <c r="H178" s="38" t="s">
        <v>303</v>
      </c>
      <c r="I178" s="35"/>
      <c r="J178" s="39" t="str">
        <f t="shared" si="3"/>
        <v>0x0E</v>
      </c>
      <c r="K178" s="40" t="str">
        <f t="shared" si="4"/>
        <v>0x00</v>
      </c>
      <c r="L178" s="40" t="str">
        <f t="shared" si="5"/>
        <v>0x12</v>
      </c>
      <c r="M178" s="42">
        <v>5.0</v>
      </c>
      <c r="N178" s="42" t="str">
        <f t="shared" si="94"/>
        <v>0x0F</v>
      </c>
      <c r="O178" s="48" t="str">
        <f t="shared" si="95"/>
        <v>0xBB</v>
      </c>
      <c r="P178" s="48" t="str">
        <f t="shared" si="96"/>
        <v>0xBB</v>
      </c>
      <c r="Q178" s="48" t="str">
        <f t="shared" si="97"/>
        <v>0xBB</v>
      </c>
      <c r="R178" s="42"/>
      <c r="S178" s="48" t="str">
        <f t="shared" si="98"/>
        <v>0xBB</v>
      </c>
      <c r="T178" s="48" t="str">
        <f t="shared" si="99"/>
        <v>0xBB</v>
      </c>
      <c r="U178" s="48"/>
      <c r="V178" s="40">
        <v>21.0</v>
      </c>
      <c r="W178" s="40" t="str">
        <f t="shared" si="72"/>
        <v>0x59</v>
      </c>
      <c r="X178" s="40" t="str">
        <f t="shared" ref="X178:AA178" si="104">"0x" &amp; MID($B178,$V178  + 2*(COLUMN() - COLUMN($W178)), 2)</f>
        <v>0x19</v>
      </c>
      <c r="Y178" s="40" t="str">
        <f t="shared" si="104"/>
        <v>0x02</v>
      </c>
      <c r="Z178" s="40" t="str">
        <f t="shared" si="104"/>
        <v>0x48</v>
      </c>
      <c r="AA178" s="40" t="str">
        <f t="shared" si="104"/>
        <v>0xAE</v>
      </c>
      <c r="AB178" s="40"/>
      <c r="AC178" s="40"/>
      <c r="AD178" s="40"/>
      <c r="AE178" s="40"/>
      <c r="AF178" s="40"/>
      <c r="AG178" s="40"/>
      <c r="AH178" s="40"/>
      <c r="AI178" s="40"/>
      <c r="AJ178" s="40"/>
      <c r="AK178" s="40"/>
      <c r="AL178" s="40"/>
      <c r="AM178" s="40"/>
      <c r="AN178" s="75" t="str">
        <f t="shared" si="81"/>
        <v>0xB8</v>
      </c>
    </row>
    <row r="179" hidden="1">
      <c r="A179" s="51" t="str">
        <f t="shared" si="2"/>
        <v>E90E</v>
      </c>
      <c r="B179" s="52" t="str">
        <f>IFERROR(__xludf.DUMMYFUNCTION("REGEXREPLACE($H179, ""(?i)^8301(E000|E100|E200|E300)?"", """")"),"E90E00120FBBBBBBBBBB59320248AEB8")</f>
        <v>E90E00120FBBBBBBBBBB59320248AEB8</v>
      </c>
      <c r="C179" s="65" t="s">
        <v>30</v>
      </c>
      <c r="D179" s="65" t="s">
        <v>503</v>
      </c>
      <c r="E179" s="65" t="s">
        <v>106</v>
      </c>
      <c r="F179" s="65" t="s">
        <v>107</v>
      </c>
      <c r="G179" s="67">
        <v>46220.0</v>
      </c>
      <c r="H179" s="68" t="s">
        <v>304</v>
      </c>
      <c r="I179" s="53"/>
      <c r="J179" s="57" t="str">
        <f t="shared" si="3"/>
        <v>0x0E</v>
      </c>
      <c r="K179" s="58" t="str">
        <f t="shared" si="4"/>
        <v>0x00</v>
      </c>
      <c r="L179" s="58" t="str">
        <f t="shared" si="5"/>
        <v>0x12</v>
      </c>
      <c r="M179" s="59">
        <v>5.0</v>
      </c>
      <c r="N179" s="59" t="str">
        <f t="shared" si="94"/>
        <v>0x0F</v>
      </c>
      <c r="O179" s="71" t="str">
        <f t="shared" si="95"/>
        <v>0xBB</v>
      </c>
      <c r="P179" s="71" t="str">
        <f t="shared" si="96"/>
        <v>0xBB</v>
      </c>
      <c r="Q179" s="71" t="str">
        <f t="shared" si="97"/>
        <v>0xBB</v>
      </c>
      <c r="R179" s="59"/>
      <c r="S179" s="71" t="str">
        <f t="shared" si="98"/>
        <v>0xBB</v>
      </c>
      <c r="T179" s="71" t="str">
        <f t="shared" si="99"/>
        <v>0xBB</v>
      </c>
      <c r="U179" s="71"/>
      <c r="V179" s="58">
        <v>21.0</v>
      </c>
      <c r="W179" s="58" t="str">
        <f t="shared" si="72"/>
        <v>0x59</v>
      </c>
      <c r="X179" s="58" t="str">
        <f t="shared" ref="X179:AA179" si="105">"0x" &amp; MID($B179,$V179  + 2*(COLUMN() - COLUMN($W179)), 2)</f>
        <v>0x32</v>
      </c>
      <c r="Y179" s="58" t="str">
        <f t="shared" si="105"/>
        <v>0x02</v>
      </c>
      <c r="Z179" s="58" t="str">
        <f t="shared" si="105"/>
        <v>0x48</v>
      </c>
      <c r="AA179" s="58" t="str">
        <f t="shared" si="105"/>
        <v>0xAE</v>
      </c>
      <c r="AB179" s="58"/>
      <c r="AC179" s="58"/>
      <c r="AD179" s="58"/>
      <c r="AE179" s="58"/>
      <c r="AF179" s="58"/>
      <c r="AG179" s="58"/>
      <c r="AH179" s="58"/>
      <c r="AI179" s="58"/>
      <c r="AJ179" s="58"/>
      <c r="AK179" s="58"/>
      <c r="AL179" s="58"/>
      <c r="AM179" s="58"/>
      <c r="AN179" s="88" t="str">
        <f t="shared" si="81"/>
        <v>0xB8</v>
      </c>
    </row>
    <row r="180" hidden="1">
      <c r="A180" s="33" t="str">
        <f t="shared" si="2"/>
        <v>E90E</v>
      </c>
      <c r="B180" s="34" t="str">
        <f>IFERROR(__xludf.DUMMYFUNCTION("REGEXREPLACE($H180, ""(?i)^8301(E000|E100|E200|E300)?"", """")"),"E90E00130FB4B5B5B1B3590FFB48AEB0")</f>
        <v>E90E00130FB4B5B5B1B3590FFB48AEB0</v>
      </c>
      <c r="C180" s="36" t="s">
        <v>30</v>
      </c>
      <c r="D180" s="36" t="s">
        <v>503</v>
      </c>
      <c r="E180" s="36" t="s">
        <v>75</v>
      </c>
      <c r="F180" s="36" t="s">
        <v>120</v>
      </c>
      <c r="G180" s="37">
        <v>46228.0</v>
      </c>
      <c r="H180" s="38" t="s">
        <v>305</v>
      </c>
      <c r="I180" s="35"/>
      <c r="J180" s="39" t="str">
        <f t="shared" si="3"/>
        <v>0x0E</v>
      </c>
      <c r="K180" s="40" t="str">
        <f t="shared" si="4"/>
        <v>0x00</v>
      </c>
      <c r="L180" s="40" t="str">
        <f t="shared" si="5"/>
        <v>0x13</v>
      </c>
      <c r="M180" s="42">
        <v>5.0</v>
      </c>
      <c r="N180" s="42" t="str">
        <f t="shared" si="94"/>
        <v>0x0F</v>
      </c>
      <c r="O180" s="48" t="str">
        <f t="shared" si="95"/>
        <v>0xB4</v>
      </c>
      <c r="P180" s="48" t="str">
        <f t="shared" si="96"/>
        <v>0xB5</v>
      </c>
      <c r="Q180" s="48" t="str">
        <f t="shared" si="97"/>
        <v>0xB5</v>
      </c>
      <c r="R180" s="42"/>
      <c r="S180" s="48" t="str">
        <f t="shared" si="98"/>
        <v>0xB1</v>
      </c>
      <c r="T180" s="48" t="str">
        <f t="shared" si="99"/>
        <v>0xB3</v>
      </c>
      <c r="U180" s="48"/>
      <c r="V180" s="40">
        <v>21.0</v>
      </c>
      <c r="W180" s="40" t="str">
        <f t="shared" si="72"/>
        <v>0x59</v>
      </c>
      <c r="X180" s="40" t="str">
        <f t="shared" ref="X180:AA180" si="106">"0x" &amp; MID($B180,$V180  + 2*(COLUMN() - COLUMN($W180)), 2)</f>
        <v>0x0F</v>
      </c>
      <c r="Y180" s="40" t="str">
        <f t="shared" si="106"/>
        <v>0xFB</v>
      </c>
      <c r="Z180" s="40" t="str">
        <f t="shared" si="106"/>
        <v>0x48</v>
      </c>
      <c r="AA180" s="40" t="str">
        <f t="shared" si="106"/>
        <v>0xAE</v>
      </c>
      <c r="AB180" s="40"/>
      <c r="AC180" s="40"/>
      <c r="AD180" s="40"/>
      <c r="AE180" s="40"/>
      <c r="AF180" s="40"/>
      <c r="AG180" s="40"/>
      <c r="AH180" s="40"/>
      <c r="AI180" s="40"/>
      <c r="AJ180" s="40"/>
      <c r="AK180" s="40"/>
      <c r="AL180" s="40"/>
      <c r="AM180" s="40"/>
      <c r="AN180" s="75" t="str">
        <f t="shared" si="81"/>
        <v>0xB0</v>
      </c>
    </row>
    <row r="181" hidden="1">
      <c r="A181" s="51" t="str">
        <f t="shared" si="2"/>
        <v>E90E</v>
      </c>
      <c r="B181" s="52" t="str">
        <f>IFERROR(__xludf.DUMMYFUNCTION("REGEXREPLACE($H181, ""(?i)^8301(E000|E100|E200|E300)?"", """")"),"E90E00130FBBBBBBBBBB59320248AEB8")</f>
        <v>E90E00130FBBBBBBBBBB59320248AEB8</v>
      </c>
      <c r="C181" s="65" t="s">
        <v>30</v>
      </c>
      <c r="D181" s="65" t="s">
        <v>503</v>
      </c>
      <c r="E181" s="65" t="s">
        <v>106</v>
      </c>
      <c r="F181" s="65" t="s">
        <v>107</v>
      </c>
      <c r="G181" s="67">
        <v>46220.0</v>
      </c>
      <c r="H181" s="68" t="s">
        <v>307</v>
      </c>
      <c r="I181" s="65"/>
      <c r="J181" s="57" t="str">
        <f t="shared" si="3"/>
        <v>0x0E</v>
      </c>
      <c r="K181" s="58" t="str">
        <f t="shared" si="4"/>
        <v>0x00</v>
      </c>
      <c r="L181" s="58" t="str">
        <f t="shared" si="5"/>
        <v>0x13</v>
      </c>
      <c r="M181" s="59">
        <v>5.0</v>
      </c>
      <c r="N181" s="59" t="str">
        <f t="shared" si="94"/>
        <v>0x0F</v>
      </c>
      <c r="O181" s="71" t="str">
        <f t="shared" si="95"/>
        <v>0xBB</v>
      </c>
      <c r="P181" s="71" t="str">
        <f t="shared" si="96"/>
        <v>0xBB</v>
      </c>
      <c r="Q181" s="71" t="str">
        <f t="shared" si="97"/>
        <v>0xBB</v>
      </c>
      <c r="R181" s="59"/>
      <c r="S181" s="71" t="str">
        <f t="shared" si="98"/>
        <v>0xBB</v>
      </c>
      <c r="T181" s="71" t="str">
        <f t="shared" si="99"/>
        <v>0xBB</v>
      </c>
      <c r="U181" s="71"/>
      <c r="V181" s="58">
        <v>21.0</v>
      </c>
      <c r="W181" s="58" t="str">
        <f t="shared" si="72"/>
        <v>0x59</v>
      </c>
      <c r="X181" s="58" t="str">
        <f t="shared" ref="X181:AA181" si="107">"0x" &amp; MID($B181,$V181  + 2*(COLUMN() - COLUMN($W181)), 2)</f>
        <v>0x32</v>
      </c>
      <c r="Y181" s="58" t="str">
        <f t="shared" si="107"/>
        <v>0x02</v>
      </c>
      <c r="Z181" s="58" t="str">
        <f t="shared" si="107"/>
        <v>0x48</v>
      </c>
      <c r="AA181" s="58" t="str">
        <f t="shared" si="107"/>
        <v>0xAE</v>
      </c>
      <c r="AB181" s="58"/>
      <c r="AC181" s="58"/>
      <c r="AD181" s="58"/>
      <c r="AE181" s="58"/>
      <c r="AF181" s="58"/>
      <c r="AG181" s="58"/>
      <c r="AH181" s="58"/>
      <c r="AI181" s="58"/>
      <c r="AJ181" s="58"/>
      <c r="AK181" s="58"/>
      <c r="AL181" s="58"/>
      <c r="AM181" s="58"/>
      <c r="AN181" s="88" t="str">
        <f t="shared" si="81"/>
        <v>0xB8</v>
      </c>
    </row>
    <row r="182" hidden="1">
      <c r="A182" s="33" t="str">
        <f t="shared" si="2"/>
        <v>E90E</v>
      </c>
      <c r="B182" s="34" t="str">
        <f>IFERROR(__xludf.DUMMYFUNCTION("REGEXREPLACE($H182, ""(?i)^8301(E000|E100|E200|E300)?"", """")"),"E90E00160FB1B1B1B1B159190248AEB0")</f>
        <v>E90E00160FB1B1B1B1B159190248AEB0</v>
      </c>
      <c r="C182" s="36" t="s">
        <v>30</v>
      </c>
      <c r="D182" s="36" t="s">
        <v>503</v>
      </c>
      <c r="E182" s="36" t="s">
        <v>75</v>
      </c>
      <c r="F182" s="36" t="s">
        <v>120</v>
      </c>
      <c r="G182" s="37">
        <v>46219.0</v>
      </c>
      <c r="H182" s="38" t="s">
        <v>308</v>
      </c>
      <c r="I182" s="36"/>
      <c r="J182" s="39" t="str">
        <f t="shared" si="3"/>
        <v>0x0E</v>
      </c>
      <c r="K182" s="40" t="str">
        <f t="shared" si="4"/>
        <v>0x00</v>
      </c>
      <c r="L182" s="40" t="str">
        <f t="shared" si="5"/>
        <v>0x16</v>
      </c>
      <c r="M182" s="42">
        <v>5.0</v>
      </c>
      <c r="N182" s="42" t="str">
        <f t="shared" si="94"/>
        <v>0x0F</v>
      </c>
      <c r="O182" s="48" t="str">
        <f t="shared" si="95"/>
        <v>0xB1</v>
      </c>
      <c r="P182" s="48" t="str">
        <f t="shared" si="96"/>
        <v>0xB1</v>
      </c>
      <c r="Q182" s="48" t="str">
        <f t="shared" si="97"/>
        <v>0xB1</v>
      </c>
      <c r="R182" s="42"/>
      <c r="S182" s="48" t="str">
        <f t="shared" si="98"/>
        <v>0xB1</v>
      </c>
      <c r="T182" s="48" t="str">
        <f t="shared" si="99"/>
        <v>0xB1</v>
      </c>
      <c r="U182" s="48"/>
      <c r="V182" s="40">
        <v>21.0</v>
      </c>
      <c r="W182" s="40" t="str">
        <f t="shared" si="72"/>
        <v>0x59</v>
      </c>
      <c r="X182" s="40" t="str">
        <f t="shared" ref="X182:AA182" si="108">"0x" &amp; MID($B182,$V182  + 2*(COLUMN() - COLUMN($W182)), 2)</f>
        <v>0x19</v>
      </c>
      <c r="Y182" s="40" t="str">
        <f t="shared" si="108"/>
        <v>0x02</v>
      </c>
      <c r="Z182" s="40" t="str">
        <f t="shared" si="108"/>
        <v>0x48</v>
      </c>
      <c r="AA182" s="40" t="str">
        <f t="shared" si="108"/>
        <v>0xAE</v>
      </c>
      <c r="AB182" s="40"/>
      <c r="AC182" s="40"/>
      <c r="AD182" s="40"/>
      <c r="AE182" s="40"/>
      <c r="AF182" s="40"/>
      <c r="AG182" s="40"/>
      <c r="AH182" s="40"/>
      <c r="AI182" s="40"/>
      <c r="AJ182" s="40"/>
      <c r="AK182" s="40"/>
      <c r="AL182" s="40"/>
      <c r="AM182" s="40"/>
      <c r="AN182" s="75" t="str">
        <f t="shared" si="81"/>
        <v>0xB0</v>
      </c>
    </row>
    <row r="183" hidden="1">
      <c r="A183" s="51" t="str">
        <f t="shared" si="2"/>
        <v>E90E</v>
      </c>
      <c r="B183" s="52" t="str">
        <f>IFERROR(__xludf.DUMMYFUNCTION("REGEXREPLACE($H183, ""(?i)^8301(E000|E100|E200|E300)?"", """")"),"E90E001FD255000000D25800000078B0")</f>
        <v>E90E001FD255000000D25800000078B0</v>
      </c>
      <c r="C183" s="65" t="s">
        <v>198</v>
      </c>
      <c r="D183" s="53"/>
      <c r="E183" s="65" t="s">
        <v>75</v>
      </c>
      <c r="F183" s="65" t="s">
        <v>120</v>
      </c>
      <c r="G183" s="67">
        <v>46219.0</v>
      </c>
      <c r="H183" s="68" t="s">
        <v>309</v>
      </c>
      <c r="I183" s="65"/>
      <c r="J183" s="57" t="str">
        <f t="shared" si="3"/>
        <v>0x0E</v>
      </c>
      <c r="K183" s="58" t="str">
        <f t="shared" si="4"/>
        <v>0x00</v>
      </c>
      <c r="L183" s="58" t="str">
        <f t="shared" si="5"/>
        <v>0x1F</v>
      </c>
      <c r="M183" s="170">
        <v>2.0</v>
      </c>
      <c r="N183" s="83" t="str">
        <f>"0x"&amp;MID($B183,9,4)</f>
        <v>0xD255</v>
      </c>
      <c r="O183" s="84" t="str">
        <f>"0x"&amp;MID($B183,13,2)</f>
        <v>0x00</v>
      </c>
      <c r="P183" s="84" t="str">
        <f>"0x"&amp;MID($B183,15,2)</f>
        <v>0x00</v>
      </c>
      <c r="Q183" s="84" t="str">
        <f>"0x"&amp;MID($B183,17,2)</f>
        <v>0x00</v>
      </c>
      <c r="R183" s="83" t="str">
        <f>"0x"&amp;MID($B183,19,4)</f>
        <v>0xD258</v>
      </c>
      <c r="S183" s="84" t="str">
        <f>"0x"&amp;MID($B183,23,2)</f>
        <v>0x00</v>
      </c>
      <c r="T183" s="84" t="str">
        <f>"0x"&amp;MID($B183,25,2)</f>
        <v>0x00</v>
      </c>
      <c r="U183" s="84" t="str">
        <f>"0x"&amp;MID($B183,27,2)</f>
        <v>0x00</v>
      </c>
      <c r="V183" s="90">
        <v>29.0</v>
      </c>
      <c r="W183" s="62" t="str">
        <f t="shared" si="72"/>
        <v>0x78</v>
      </c>
      <c r="X183" s="58"/>
      <c r="Y183" s="58"/>
      <c r="Z183" s="58"/>
      <c r="AA183" s="58"/>
      <c r="AB183" s="58"/>
      <c r="AC183" s="58"/>
      <c r="AD183" s="58"/>
      <c r="AE183" s="58"/>
      <c r="AF183" s="58"/>
      <c r="AG183" s="58"/>
      <c r="AH183" s="58"/>
      <c r="AI183" s="58"/>
      <c r="AJ183" s="58"/>
      <c r="AK183" s="58"/>
      <c r="AL183" s="58"/>
      <c r="AM183" s="58"/>
      <c r="AN183" s="88" t="str">
        <f t="shared" si="81"/>
        <v>0xB0</v>
      </c>
    </row>
    <row r="184">
      <c r="A184" s="33" t="str">
        <f t="shared" si="2"/>
        <v>E90E</v>
      </c>
      <c r="B184" s="34" t="str">
        <f>IFERROR(__xludf.DUMMYFUNCTION("REGEXREPLACE($H184, ""(?i)^8301(E000|E100|E200|E300)?"", """")"),"E90E00210FBBBBBBBBBB59190248AEB0")</f>
        <v>E90E00210FBBBBBBBBBB59190248AEB0</v>
      </c>
      <c r="C184" s="36" t="s">
        <v>30</v>
      </c>
      <c r="D184" s="36" t="s">
        <v>503</v>
      </c>
      <c r="E184" s="36" t="s">
        <v>217</v>
      </c>
      <c r="F184" s="36" t="s">
        <v>218</v>
      </c>
      <c r="G184" s="37">
        <v>46244.0</v>
      </c>
      <c r="H184" s="38" t="s">
        <v>449</v>
      </c>
      <c r="I184" s="36"/>
      <c r="J184" s="39" t="str">
        <f t="shared" si="3"/>
        <v>0x0E</v>
      </c>
      <c r="K184" s="40" t="str">
        <f t="shared" si="4"/>
        <v>0x00</v>
      </c>
      <c r="L184" s="40" t="str">
        <f t="shared" si="5"/>
        <v>0x21</v>
      </c>
      <c r="M184" s="42">
        <v>5.0</v>
      </c>
      <c r="N184" s="42" t="str">
        <f t="shared" ref="N184:N185" si="110">"0x"&amp;MID($B184,9,2)</f>
        <v>0x0F</v>
      </c>
      <c r="O184" s="48" t="str">
        <f t="shared" ref="O184:O185" si="111">"0x"&amp;MID($B184,11,2)</f>
        <v>0xBB</v>
      </c>
      <c r="P184" s="48" t="str">
        <f t="shared" ref="P184:P185" si="112">"0x"&amp;MID($B184,13,2)</f>
        <v>0xBB</v>
      </c>
      <c r="Q184" s="48" t="str">
        <f t="shared" ref="Q184:Q185" si="113">"0x"&amp;MID($B184,15,2)</f>
        <v>0xBB</v>
      </c>
      <c r="R184" s="42"/>
      <c r="S184" s="48" t="str">
        <f t="shared" ref="S184:S185" si="114">"0x"&amp;MID($B184,17,2)</f>
        <v>0xBB</v>
      </c>
      <c r="T184" s="48" t="str">
        <f t="shared" ref="T184:T185" si="115">"0x"&amp;MID($B184,19,2)</f>
        <v>0xBB</v>
      </c>
      <c r="U184" s="48"/>
      <c r="V184" s="40">
        <v>21.0</v>
      </c>
      <c r="W184" s="40" t="str">
        <f t="shared" si="72"/>
        <v>0x59</v>
      </c>
      <c r="X184" s="40" t="str">
        <f t="shared" ref="X184:AA184" si="109">"0x" &amp; MID($B184,$V184  + 2*(COLUMN() - COLUMN($W184)), 2)</f>
        <v>0x19</v>
      </c>
      <c r="Y184" s="40" t="str">
        <f t="shared" si="109"/>
        <v>0x02</v>
      </c>
      <c r="Z184" s="40" t="str">
        <f t="shared" si="109"/>
        <v>0x48</v>
      </c>
      <c r="AA184" s="40" t="str">
        <f t="shared" si="109"/>
        <v>0xAE</v>
      </c>
      <c r="AB184" s="40"/>
      <c r="AC184" s="40"/>
      <c r="AD184" s="40"/>
      <c r="AE184" s="40"/>
      <c r="AF184" s="40"/>
      <c r="AG184" s="40"/>
      <c r="AH184" s="40"/>
      <c r="AI184" s="40"/>
      <c r="AJ184" s="40"/>
      <c r="AK184" s="40"/>
      <c r="AL184" s="40"/>
      <c r="AM184" s="40"/>
      <c r="AN184" s="75" t="str">
        <f t="shared" si="81"/>
        <v>0xB0</v>
      </c>
    </row>
    <row r="185">
      <c r="A185" s="51" t="str">
        <f t="shared" si="2"/>
        <v>E90E</v>
      </c>
      <c r="B185" s="52" t="str">
        <f>IFERROR(__xludf.DUMMYFUNCTION("REGEXREPLACE($H185, ""(?i)^8301(E000|E100|E200|E300)?"", """")"),"E90E00210FBBBBBBBBBB59190248AEB8")</f>
        <v>E90E00210FBBBBBBBBBB59190248AEB8</v>
      </c>
      <c r="C185" s="65" t="s">
        <v>30</v>
      </c>
      <c r="D185" s="65" t="s">
        <v>503</v>
      </c>
      <c r="E185" s="65" t="s">
        <v>217</v>
      </c>
      <c r="F185" s="65" t="s">
        <v>218</v>
      </c>
      <c r="G185" s="67">
        <v>46244.0</v>
      </c>
      <c r="H185" s="68" t="s">
        <v>447</v>
      </c>
      <c r="I185" s="65"/>
      <c r="J185" s="57" t="str">
        <f t="shared" si="3"/>
        <v>0x0E</v>
      </c>
      <c r="K185" s="58" t="str">
        <f t="shared" si="4"/>
        <v>0x00</v>
      </c>
      <c r="L185" s="58" t="str">
        <f t="shared" si="5"/>
        <v>0x21</v>
      </c>
      <c r="M185" s="59">
        <v>5.0</v>
      </c>
      <c r="N185" s="59" t="str">
        <f t="shared" si="110"/>
        <v>0x0F</v>
      </c>
      <c r="O185" s="71" t="str">
        <f t="shared" si="111"/>
        <v>0xBB</v>
      </c>
      <c r="P185" s="71" t="str">
        <f t="shared" si="112"/>
        <v>0xBB</v>
      </c>
      <c r="Q185" s="71" t="str">
        <f t="shared" si="113"/>
        <v>0xBB</v>
      </c>
      <c r="R185" s="59"/>
      <c r="S185" s="71" t="str">
        <f t="shared" si="114"/>
        <v>0xBB</v>
      </c>
      <c r="T185" s="71" t="str">
        <f t="shared" si="115"/>
        <v>0xBB</v>
      </c>
      <c r="U185" s="71"/>
      <c r="V185" s="58">
        <v>21.0</v>
      </c>
      <c r="W185" s="58" t="str">
        <f t="shared" si="72"/>
        <v>0x59</v>
      </c>
      <c r="X185" s="58" t="str">
        <f t="shared" ref="X185:AA185" si="116">"0x" &amp; MID($B185,$V185  + 2*(COLUMN() - COLUMN($W185)), 2)</f>
        <v>0x19</v>
      </c>
      <c r="Y185" s="58" t="str">
        <f t="shared" si="116"/>
        <v>0x02</v>
      </c>
      <c r="Z185" s="58" t="str">
        <f t="shared" si="116"/>
        <v>0x48</v>
      </c>
      <c r="AA185" s="58" t="str">
        <f t="shared" si="116"/>
        <v>0xAE</v>
      </c>
      <c r="AB185" s="58"/>
      <c r="AC185" s="58"/>
      <c r="AD185" s="58"/>
      <c r="AE185" s="58"/>
      <c r="AF185" s="58"/>
      <c r="AG185" s="58"/>
      <c r="AH185" s="58"/>
      <c r="AI185" s="58"/>
      <c r="AJ185" s="58"/>
      <c r="AK185" s="58"/>
      <c r="AL185" s="58"/>
      <c r="AM185" s="58"/>
      <c r="AN185" s="88" t="str">
        <f t="shared" si="81"/>
        <v>0xB8</v>
      </c>
    </row>
    <row r="186" hidden="1">
      <c r="A186" s="33" t="str">
        <f t="shared" si="2"/>
        <v>E90E</v>
      </c>
      <c r="B186" s="34" t="str">
        <f>IFERROR(__xludf.DUMMYFUNCTION("REGEXREPLACE($H186, ""(?i)^8301(E000|E100|E200|E300)?"", """")"),"E90E0021D255000000D25800000078B0")</f>
        <v>E90E0021D255000000D25800000078B0</v>
      </c>
      <c r="C186" s="36" t="s">
        <v>198</v>
      </c>
      <c r="D186" s="35"/>
      <c r="E186" s="36" t="s">
        <v>75</v>
      </c>
      <c r="F186" s="36" t="s">
        <v>120</v>
      </c>
      <c r="G186" s="37">
        <v>46219.0</v>
      </c>
      <c r="H186" s="38" t="s">
        <v>311</v>
      </c>
      <c r="I186" s="36"/>
      <c r="J186" s="39" t="str">
        <f t="shared" si="3"/>
        <v>0x0E</v>
      </c>
      <c r="K186" s="40" t="str">
        <f t="shared" si="4"/>
        <v>0x00</v>
      </c>
      <c r="L186" s="40" t="str">
        <f t="shared" si="5"/>
        <v>0x21</v>
      </c>
      <c r="M186" s="169">
        <v>2.0</v>
      </c>
      <c r="N186" s="78" t="str">
        <f t="shared" ref="N186:N187" si="117">"0x"&amp;MID($B186,9,4)</f>
        <v>0xD255</v>
      </c>
      <c r="O186" s="72" t="str">
        <f t="shared" ref="O186:O187" si="118">"0x"&amp;MID($B186,13,2)</f>
        <v>0x00</v>
      </c>
      <c r="P186" s="72" t="str">
        <f t="shared" ref="P186:P187" si="119">"0x"&amp;MID($B186,15,2)</f>
        <v>0x00</v>
      </c>
      <c r="Q186" s="72" t="str">
        <f t="shared" ref="Q186:Q187" si="120">"0x"&amp;MID($B186,17,2)</f>
        <v>0x00</v>
      </c>
      <c r="R186" s="78" t="str">
        <f t="shared" ref="R186:R187" si="121">"0x"&amp;MID($B186,19,4)</f>
        <v>0xD258</v>
      </c>
      <c r="S186" s="72" t="str">
        <f t="shared" ref="S186:S187" si="122">"0x"&amp;MID($B186,23,2)</f>
        <v>0x00</v>
      </c>
      <c r="T186" s="72" t="str">
        <f t="shared" ref="T186:T187" si="123">"0x"&amp;MID($B186,25,2)</f>
        <v>0x00</v>
      </c>
      <c r="U186" s="72" t="str">
        <f t="shared" ref="U186:U187" si="124">"0x"&amp;MID($B186,27,2)</f>
        <v>0x00</v>
      </c>
      <c r="V186" s="73">
        <v>29.0</v>
      </c>
      <c r="W186" s="47" t="str">
        <f t="shared" si="72"/>
        <v>0x78</v>
      </c>
      <c r="X186" s="40"/>
      <c r="Y186" s="40"/>
      <c r="Z186" s="40"/>
      <c r="AA186" s="40"/>
      <c r="AB186" s="40"/>
      <c r="AC186" s="40"/>
      <c r="AD186" s="40"/>
      <c r="AE186" s="40"/>
      <c r="AF186" s="40"/>
      <c r="AG186" s="40"/>
      <c r="AH186" s="40"/>
      <c r="AI186" s="40"/>
      <c r="AJ186" s="40"/>
      <c r="AK186" s="40"/>
      <c r="AL186" s="40"/>
      <c r="AM186" s="40"/>
      <c r="AN186" s="75" t="str">
        <f t="shared" si="81"/>
        <v>0xB0</v>
      </c>
    </row>
    <row r="187" hidden="1">
      <c r="A187" s="51" t="str">
        <f t="shared" si="2"/>
        <v>E90E</v>
      </c>
      <c r="B187" s="52" t="str">
        <f>IFERROR(__xludf.DUMMYFUNCTION("REGEXREPLACE($H187, ""(?i)^8301(E000|E100|E200|E300)?"", """")"),"E90E0023D255000000D25800000078B0")</f>
        <v>E90E0023D255000000D25800000078B0</v>
      </c>
      <c r="C187" s="65" t="s">
        <v>198</v>
      </c>
      <c r="D187" s="53"/>
      <c r="E187" s="65" t="s">
        <v>75</v>
      </c>
      <c r="F187" s="65" t="s">
        <v>120</v>
      </c>
      <c r="G187" s="67">
        <v>46219.0</v>
      </c>
      <c r="H187" s="68" t="s">
        <v>312</v>
      </c>
      <c r="I187" s="65"/>
      <c r="J187" s="57" t="str">
        <f t="shared" si="3"/>
        <v>0x0E</v>
      </c>
      <c r="K187" s="58" t="str">
        <f t="shared" si="4"/>
        <v>0x00</v>
      </c>
      <c r="L187" s="58" t="str">
        <f t="shared" si="5"/>
        <v>0x23</v>
      </c>
      <c r="M187" s="170">
        <v>2.0</v>
      </c>
      <c r="N187" s="83" t="str">
        <f t="shared" si="117"/>
        <v>0xD255</v>
      </c>
      <c r="O187" s="84" t="str">
        <f t="shared" si="118"/>
        <v>0x00</v>
      </c>
      <c r="P187" s="84" t="str">
        <f t="shared" si="119"/>
        <v>0x00</v>
      </c>
      <c r="Q187" s="84" t="str">
        <f t="shared" si="120"/>
        <v>0x00</v>
      </c>
      <c r="R187" s="83" t="str">
        <f t="shared" si="121"/>
        <v>0xD258</v>
      </c>
      <c r="S187" s="84" t="str">
        <f t="shared" si="122"/>
        <v>0x00</v>
      </c>
      <c r="T187" s="84" t="str">
        <f t="shared" si="123"/>
        <v>0x00</v>
      </c>
      <c r="U187" s="84" t="str">
        <f t="shared" si="124"/>
        <v>0x00</v>
      </c>
      <c r="V187" s="90">
        <v>29.0</v>
      </c>
      <c r="W187" s="62" t="str">
        <f t="shared" si="72"/>
        <v>0x78</v>
      </c>
      <c r="X187" s="58"/>
      <c r="Y187" s="58"/>
      <c r="Z187" s="58"/>
      <c r="AA187" s="58"/>
      <c r="AB187" s="58"/>
      <c r="AC187" s="58"/>
      <c r="AD187" s="58"/>
      <c r="AE187" s="58"/>
      <c r="AF187" s="58"/>
      <c r="AG187" s="58"/>
      <c r="AH187" s="58"/>
      <c r="AI187" s="58"/>
      <c r="AJ187" s="58"/>
      <c r="AK187" s="58"/>
      <c r="AL187" s="58"/>
      <c r="AM187" s="58"/>
      <c r="AN187" s="88" t="str">
        <f t="shared" si="81"/>
        <v>0xB0</v>
      </c>
    </row>
    <row r="188" hidden="1">
      <c r="A188" s="33" t="str">
        <f t="shared" si="2"/>
        <v>E90E</v>
      </c>
      <c r="B188" s="34" t="str">
        <f>IFERROR(__xludf.DUMMYFUNCTION("REGEXREPLACE($H188, ""(?i)^8301(E000|E100|E200|E300)?"", """")"),"E90E00240FBBBBBBBBBB59320248AEB8")</f>
        <v>E90E00240FBBBBBBBBBB59320248AEB8</v>
      </c>
      <c r="C188" s="36" t="s">
        <v>30</v>
      </c>
      <c r="D188" s="36" t="s">
        <v>503</v>
      </c>
      <c r="E188" s="36" t="s">
        <v>106</v>
      </c>
      <c r="F188" s="36" t="s">
        <v>107</v>
      </c>
      <c r="G188" s="37">
        <v>46220.0</v>
      </c>
      <c r="H188" s="38" t="s">
        <v>313</v>
      </c>
      <c r="I188" s="36"/>
      <c r="J188" s="39" t="str">
        <f t="shared" si="3"/>
        <v>0x0E</v>
      </c>
      <c r="K188" s="40" t="str">
        <f t="shared" si="4"/>
        <v>0x00</v>
      </c>
      <c r="L188" s="40" t="str">
        <f t="shared" si="5"/>
        <v>0x24</v>
      </c>
      <c r="M188" s="42">
        <v>5.0</v>
      </c>
      <c r="N188" s="42" t="str">
        <f>"0x"&amp;MID($B188,9,2)</f>
        <v>0x0F</v>
      </c>
      <c r="O188" s="48" t="str">
        <f>"0x"&amp;MID($B188,11,2)</f>
        <v>0xBB</v>
      </c>
      <c r="P188" s="48" t="str">
        <f>"0x"&amp;MID($B188,13,2)</f>
        <v>0xBB</v>
      </c>
      <c r="Q188" s="48" t="str">
        <f>"0x"&amp;MID($B188,15,2)</f>
        <v>0xBB</v>
      </c>
      <c r="R188" s="42"/>
      <c r="S188" s="48" t="str">
        <f>"0x"&amp;MID($B188,17,2)</f>
        <v>0xBB</v>
      </c>
      <c r="T188" s="48" t="str">
        <f>"0x"&amp;MID($B188,19,2)</f>
        <v>0xBB</v>
      </c>
      <c r="U188" s="48"/>
      <c r="V188" s="40">
        <v>21.0</v>
      </c>
      <c r="W188" s="40" t="str">
        <f t="shared" si="72"/>
        <v>0x59</v>
      </c>
      <c r="X188" s="40" t="str">
        <f t="shared" ref="X188:AA188" si="125">"0x" &amp; MID($B188,$V188  + 2*(COLUMN() - COLUMN($W188)), 2)</f>
        <v>0x32</v>
      </c>
      <c r="Y188" s="40" t="str">
        <f t="shared" si="125"/>
        <v>0x02</v>
      </c>
      <c r="Z188" s="40" t="str">
        <f t="shared" si="125"/>
        <v>0x48</v>
      </c>
      <c r="AA188" s="40" t="str">
        <f t="shared" si="125"/>
        <v>0xAE</v>
      </c>
      <c r="AB188" s="40"/>
      <c r="AC188" s="40"/>
      <c r="AD188" s="40"/>
      <c r="AE188" s="40"/>
      <c r="AF188" s="40"/>
      <c r="AG188" s="40"/>
      <c r="AH188" s="40"/>
      <c r="AI188" s="40"/>
      <c r="AJ188" s="40"/>
      <c r="AK188" s="40"/>
      <c r="AL188" s="40"/>
      <c r="AM188" s="40"/>
      <c r="AN188" s="75" t="str">
        <f t="shared" si="81"/>
        <v>0xB8</v>
      </c>
    </row>
    <row r="189" hidden="1">
      <c r="A189" s="51" t="str">
        <f t="shared" si="2"/>
        <v>E90E</v>
      </c>
      <c r="B189" s="52" t="str">
        <f>IFERROR(__xludf.DUMMYFUNCTION("REGEXREPLACE($H189, ""(?i)^8301(E000|E100|E200|E300)?"", """")"),"E90E0024D255000000D25800000078B0")</f>
        <v>E90E0024D255000000D25800000078B0</v>
      </c>
      <c r="C189" s="65" t="s">
        <v>198</v>
      </c>
      <c r="D189" s="53"/>
      <c r="E189" s="65" t="s">
        <v>75</v>
      </c>
      <c r="F189" s="65" t="s">
        <v>120</v>
      </c>
      <c r="G189" s="67">
        <v>46228.0</v>
      </c>
      <c r="H189" s="68" t="s">
        <v>314</v>
      </c>
      <c r="I189" s="65"/>
      <c r="J189" s="57" t="str">
        <f t="shared" si="3"/>
        <v>0x0E</v>
      </c>
      <c r="K189" s="58" t="str">
        <f t="shared" si="4"/>
        <v>0x00</v>
      </c>
      <c r="L189" s="58" t="str">
        <f t="shared" si="5"/>
        <v>0x24</v>
      </c>
      <c r="M189" s="170">
        <v>2.0</v>
      </c>
      <c r="N189" s="83" t="str">
        <f>"0x"&amp;MID($B189,9,4)</f>
        <v>0xD255</v>
      </c>
      <c r="O189" s="84" t="str">
        <f>"0x"&amp;MID($B189,13,2)</f>
        <v>0x00</v>
      </c>
      <c r="P189" s="84" t="str">
        <f>"0x"&amp;MID($B189,15,2)</f>
        <v>0x00</v>
      </c>
      <c r="Q189" s="84" t="str">
        <f>"0x"&amp;MID($B189,17,2)</f>
        <v>0x00</v>
      </c>
      <c r="R189" s="83" t="str">
        <f>"0x"&amp;MID($B189,19,4)</f>
        <v>0xD258</v>
      </c>
      <c r="S189" s="84" t="str">
        <f>"0x"&amp;MID($B189,23,2)</f>
        <v>0x00</v>
      </c>
      <c r="T189" s="84" t="str">
        <f>"0x"&amp;MID($B189,25,2)</f>
        <v>0x00</v>
      </c>
      <c r="U189" s="84" t="str">
        <f>"0x"&amp;MID($B189,27,2)</f>
        <v>0x00</v>
      </c>
      <c r="V189" s="90">
        <v>29.0</v>
      </c>
      <c r="W189" s="62" t="str">
        <f t="shared" si="72"/>
        <v>0x78</v>
      </c>
      <c r="X189" s="58"/>
      <c r="Y189" s="58"/>
      <c r="Z189" s="58"/>
      <c r="AA189" s="58"/>
      <c r="AB189" s="58"/>
      <c r="AC189" s="58"/>
      <c r="AD189" s="58"/>
      <c r="AE189" s="58"/>
      <c r="AF189" s="58"/>
      <c r="AG189" s="58"/>
      <c r="AH189" s="58"/>
      <c r="AI189" s="58"/>
      <c r="AJ189" s="58"/>
      <c r="AK189" s="58"/>
      <c r="AL189" s="58"/>
      <c r="AM189" s="58"/>
      <c r="AN189" s="88" t="str">
        <f t="shared" si="81"/>
        <v>0xB0</v>
      </c>
    </row>
    <row r="190" hidden="1">
      <c r="A190" s="33" t="str">
        <f t="shared" si="2"/>
        <v>E90E</v>
      </c>
      <c r="B190" s="34" t="str">
        <f>IFERROR(__xludf.DUMMYFUNCTION("REGEXREPLACE($H190, ""(?i)^8301(E000|E100|E200|E300)?"", """")"),"E90E00250FB8A3A9A3A959190248AEB0")</f>
        <v>E90E00250FB8A3A9A3A959190248AEB0</v>
      </c>
      <c r="C190" s="36" t="s">
        <v>30</v>
      </c>
      <c r="D190" s="36" t="s">
        <v>503</v>
      </c>
      <c r="E190" s="36" t="s">
        <v>129</v>
      </c>
      <c r="F190" s="36" t="s">
        <v>137</v>
      </c>
      <c r="G190" s="37">
        <v>46207.0</v>
      </c>
      <c r="H190" s="44" t="s">
        <v>315</v>
      </c>
      <c r="I190" s="36"/>
      <c r="J190" s="39" t="str">
        <f t="shared" si="3"/>
        <v>0x0E</v>
      </c>
      <c r="K190" s="40" t="str">
        <f t="shared" si="4"/>
        <v>0x00</v>
      </c>
      <c r="L190" s="40" t="str">
        <f t="shared" si="5"/>
        <v>0x25</v>
      </c>
      <c r="M190" s="42">
        <v>5.0</v>
      </c>
      <c r="N190" s="42" t="str">
        <f t="shared" ref="N190:N193" si="127">"0x"&amp;MID($B190,9,2)</f>
        <v>0x0F</v>
      </c>
      <c r="O190" s="48" t="str">
        <f t="shared" ref="O190:O193" si="128">"0x"&amp;MID($B190,11,2)</f>
        <v>0xB8</v>
      </c>
      <c r="P190" s="48" t="str">
        <f t="shared" ref="P190:P193" si="129">"0x"&amp;MID($B190,13,2)</f>
        <v>0xA3</v>
      </c>
      <c r="Q190" s="48" t="str">
        <f t="shared" ref="Q190:Q193" si="130">"0x"&amp;MID($B190,15,2)</f>
        <v>0xA9</v>
      </c>
      <c r="R190" s="42"/>
      <c r="S190" s="48" t="str">
        <f t="shared" ref="S190:S193" si="131">"0x"&amp;MID($B190,17,2)</f>
        <v>0xA3</v>
      </c>
      <c r="T190" s="48" t="str">
        <f t="shared" ref="T190:T193" si="132">"0x"&amp;MID($B190,19,2)</f>
        <v>0xA9</v>
      </c>
      <c r="U190" s="48"/>
      <c r="V190" s="40">
        <v>21.0</v>
      </c>
      <c r="W190" s="40" t="str">
        <f t="shared" si="72"/>
        <v>0x59</v>
      </c>
      <c r="X190" s="40" t="str">
        <f t="shared" ref="X190:AA190" si="126">"0x" &amp; MID($B190,$V190  + 2*(COLUMN() - COLUMN($W190)), 2)</f>
        <v>0x19</v>
      </c>
      <c r="Y190" s="40" t="str">
        <f t="shared" si="126"/>
        <v>0x02</v>
      </c>
      <c r="Z190" s="40" t="str">
        <f t="shared" si="126"/>
        <v>0x48</v>
      </c>
      <c r="AA190" s="40" t="str">
        <f t="shared" si="126"/>
        <v>0xAE</v>
      </c>
      <c r="AB190" s="40"/>
      <c r="AC190" s="40"/>
      <c r="AD190" s="40"/>
      <c r="AE190" s="40"/>
      <c r="AF190" s="40"/>
      <c r="AG190" s="40"/>
      <c r="AH190" s="40"/>
      <c r="AI190" s="40"/>
      <c r="AJ190" s="40"/>
      <c r="AK190" s="40"/>
      <c r="AL190" s="40"/>
      <c r="AM190" s="40"/>
      <c r="AN190" s="75" t="str">
        <f t="shared" si="81"/>
        <v>0xB0</v>
      </c>
    </row>
    <row r="191" hidden="1">
      <c r="A191" s="51" t="str">
        <f t="shared" si="2"/>
        <v>E90E</v>
      </c>
      <c r="B191" s="52" t="str">
        <f>IFERROR(__xludf.DUMMYFUNCTION("REGEXREPLACE($H191, ""(?i)^8301(E000|E100|E200|E300)?"", """")"),"E90E004C0FA0A0B6A0B659190248AEB8")</f>
        <v>E90E004C0FA0A0B6A0B659190248AEB8</v>
      </c>
      <c r="C191" s="65" t="s">
        <v>30</v>
      </c>
      <c r="D191" s="65" t="s">
        <v>503</v>
      </c>
      <c r="E191" s="65" t="s">
        <v>106</v>
      </c>
      <c r="F191" s="65" t="s">
        <v>175</v>
      </c>
      <c r="G191" s="67">
        <v>46220.0</v>
      </c>
      <c r="H191" s="68" t="s">
        <v>316</v>
      </c>
      <c r="I191" s="65"/>
      <c r="J191" s="57" t="str">
        <f t="shared" si="3"/>
        <v>0x0E</v>
      </c>
      <c r="K191" s="58" t="str">
        <f t="shared" si="4"/>
        <v>0x00</v>
      </c>
      <c r="L191" s="58" t="str">
        <f t="shared" si="5"/>
        <v>0x4C</v>
      </c>
      <c r="M191" s="59">
        <v>5.0</v>
      </c>
      <c r="N191" s="59" t="str">
        <f t="shared" si="127"/>
        <v>0x0F</v>
      </c>
      <c r="O191" s="71" t="str">
        <f t="shared" si="128"/>
        <v>0xA0</v>
      </c>
      <c r="P191" s="71" t="str">
        <f t="shared" si="129"/>
        <v>0xA0</v>
      </c>
      <c r="Q191" s="71" t="str">
        <f t="shared" si="130"/>
        <v>0xB6</v>
      </c>
      <c r="R191" s="59"/>
      <c r="S191" s="71" t="str">
        <f t="shared" si="131"/>
        <v>0xA0</v>
      </c>
      <c r="T191" s="71" t="str">
        <f t="shared" si="132"/>
        <v>0xB6</v>
      </c>
      <c r="U191" s="71"/>
      <c r="V191" s="58">
        <v>21.0</v>
      </c>
      <c r="W191" s="58" t="str">
        <f t="shared" si="72"/>
        <v>0x59</v>
      </c>
      <c r="X191" s="58" t="str">
        <f t="shared" ref="X191:AA191" si="133">"0x" &amp; MID($B191,$V191  + 2*(COLUMN() - COLUMN($W191)), 2)</f>
        <v>0x19</v>
      </c>
      <c r="Y191" s="58" t="str">
        <f t="shared" si="133"/>
        <v>0x02</v>
      </c>
      <c r="Z191" s="58" t="str">
        <f t="shared" si="133"/>
        <v>0x48</v>
      </c>
      <c r="AA191" s="58" t="str">
        <f t="shared" si="133"/>
        <v>0xAE</v>
      </c>
      <c r="AB191" s="58"/>
      <c r="AC191" s="58"/>
      <c r="AD191" s="58"/>
      <c r="AE191" s="58"/>
      <c r="AF191" s="58"/>
      <c r="AG191" s="58"/>
      <c r="AH191" s="58"/>
      <c r="AI191" s="58"/>
      <c r="AJ191" s="58"/>
      <c r="AK191" s="58"/>
      <c r="AL191" s="58"/>
      <c r="AM191" s="58"/>
      <c r="AN191" s="88" t="str">
        <f t="shared" si="81"/>
        <v>0xB8</v>
      </c>
    </row>
    <row r="192" hidden="1">
      <c r="A192" s="33" t="str">
        <f t="shared" si="2"/>
        <v>E90E</v>
      </c>
      <c r="B192" s="34" t="str">
        <f>IFERROR(__xludf.DUMMYFUNCTION("REGEXREPLACE($H192, ""(?i)^8301(E000|E100|E200|E300)?"", """")"),"E90E005F0FA2A2A2A1A259190248AEB0")</f>
        <v>E90E005F0FA2A2A2A1A259190248AEB0</v>
      </c>
      <c r="C192" s="36" t="s">
        <v>30</v>
      </c>
      <c r="D192" s="36" t="s">
        <v>529</v>
      </c>
      <c r="E192" s="41" t="s">
        <v>75</v>
      </c>
      <c r="F192" s="41" t="s">
        <v>76</v>
      </c>
      <c r="G192" s="43">
        <v>46235.0</v>
      </c>
      <c r="H192" s="44" t="s">
        <v>317</v>
      </c>
      <c r="I192" s="36"/>
      <c r="J192" s="39" t="str">
        <f t="shared" si="3"/>
        <v>0x0E</v>
      </c>
      <c r="K192" s="40" t="str">
        <f t="shared" si="4"/>
        <v>0x00</v>
      </c>
      <c r="L192" s="40" t="str">
        <f t="shared" si="5"/>
        <v>0x5F</v>
      </c>
      <c r="M192" s="42">
        <v>5.0</v>
      </c>
      <c r="N192" s="42" t="str">
        <f t="shared" si="127"/>
        <v>0x0F</v>
      </c>
      <c r="O192" s="48" t="str">
        <f t="shared" si="128"/>
        <v>0xA2</v>
      </c>
      <c r="P192" s="48" t="str">
        <f t="shared" si="129"/>
        <v>0xA2</v>
      </c>
      <c r="Q192" s="48" t="str">
        <f t="shared" si="130"/>
        <v>0xA2</v>
      </c>
      <c r="R192" s="42"/>
      <c r="S192" s="48" t="str">
        <f t="shared" si="131"/>
        <v>0xA1</v>
      </c>
      <c r="T192" s="48" t="str">
        <f t="shared" si="132"/>
        <v>0xA2</v>
      </c>
      <c r="U192" s="48"/>
      <c r="V192" s="40">
        <v>21.0</v>
      </c>
      <c r="W192" s="40" t="str">
        <f t="shared" si="72"/>
        <v>0x59</v>
      </c>
      <c r="X192" s="40" t="str">
        <f t="shared" ref="X192:AA192" si="134">"0x" &amp; MID($B192,$V192  + 2*(COLUMN() - COLUMN($W192)), 2)</f>
        <v>0x19</v>
      </c>
      <c r="Y192" s="40" t="str">
        <f t="shared" si="134"/>
        <v>0x02</v>
      </c>
      <c r="Z192" s="40" t="str">
        <f t="shared" si="134"/>
        <v>0x48</v>
      </c>
      <c r="AA192" s="40" t="str">
        <f t="shared" si="134"/>
        <v>0xAE</v>
      </c>
      <c r="AB192" s="40"/>
      <c r="AC192" s="40"/>
      <c r="AD192" s="40"/>
      <c r="AE192" s="40"/>
      <c r="AF192" s="40"/>
      <c r="AG192" s="40"/>
      <c r="AH192" s="40"/>
      <c r="AI192" s="40"/>
      <c r="AJ192" s="40"/>
      <c r="AK192" s="40"/>
      <c r="AL192" s="40"/>
      <c r="AM192" s="40"/>
      <c r="AN192" s="75" t="str">
        <f t="shared" si="81"/>
        <v>0xB0</v>
      </c>
    </row>
    <row r="193" hidden="1">
      <c r="A193" s="51" t="str">
        <f t="shared" si="2"/>
        <v>E90E</v>
      </c>
      <c r="B193" s="52" t="str">
        <f>IFERROR(__xludf.DUMMYFUNCTION("REGEXREPLACE($H193, ""(?i)^8301(E000|E100|E200|E300)?"", """")"),"E90E005F0FBBBBBBBBBB59190248AEB0")</f>
        <v>E90E005F0FBBBBBBBBBB59190248AEB0</v>
      </c>
      <c r="C193" s="65" t="s">
        <v>30</v>
      </c>
      <c r="D193" s="65" t="s">
        <v>529</v>
      </c>
      <c r="E193" s="65" t="s">
        <v>75</v>
      </c>
      <c r="F193" s="65" t="s">
        <v>76</v>
      </c>
      <c r="G193" s="67">
        <v>46208.0</v>
      </c>
      <c r="H193" s="68" t="s">
        <v>318</v>
      </c>
      <c r="I193" s="65"/>
      <c r="J193" s="57" t="str">
        <f t="shared" si="3"/>
        <v>0x0E</v>
      </c>
      <c r="K193" s="58" t="str">
        <f t="shared" si="4"/>
        <v>0x00</v>
      </c>
      <c r="L193" s="58" t="str">
        <f t="shared" si="5"/>
        <v>0x5F</v>
      </c>
      <c r="M193" s="59">
        <v>5.0</v>
      </c>
      <c r="N193" s="59" t="str">
        <f t="shared" si="127"/>
        <v>0x0F</v>
      </c>
      <c r="O193" s="71" t="str">
        <f t="shared" si="128"/>
        <v>0xBB</v>
      </c>
      <c r="P193" s="71" t="str">
        <f t="shared" si="129"/>
        <v>0xBB</v>
      </c>
      <c r="Q193" s="71" t="str">
        <f t="shared" si="130"/>
        <v>0xBB</v>
      </c>
      <c r="R193" s="59"/>
      <c r="S193" s="71" t="str">
        <f t="shared" si="131"/>
        <v>0xBB</v>
      </c>
      <c r="T193" s="71" t="str">
        <f t="shared" si="132"/>
        <v>0xBB</v>
      </c>
      <c r="U193" s="71"/>
      <c r="V193" s="58">
        <v>21.0</v>
      </c>
      <c r="W193" s="58" t="str">
        <f t="shared" si="72"/>
        <v>0x59</v>
      </c>
      <c r="X193" s="58" t="str">
        <f t="shared" ref="X193:AA193" si="135">"0x" &amp; MID($B193,$V193  + 2*(COLUMN() - COLUMN($W193)), 2)</f>
        <v>0x19</v>
      </c>
      <c r="Y193" s="58" t="str">
        <f t="shared" si="135"/>
        <v>0x02</v>
      </c>
      <c r="Z193" s="58" t="str">
        <f t="shared" si="135"/>
        <v>0x48</v>
      </c>
      <c r="AA193" s="58" t="str">
        <f t="shared" si="135"/>
        <v>0xAE</v>
      </c>
      <c r="AB193" s="58"/>
      <c r="AC193" s="58"/>
      <c r="AD193" s="58"/>
      <c r="AE193" s="58"/>
      <c r="AF193" s="58"/>
      <c r="AG193" s="58"/>
      <c r="AH193" s="58"/>
      <c r="AI193" s="58"/>
      <c r="AJ193" s="58"/>
      <c r="AK193" s="58"/>
      <c r="AL193" s="58"/>
      <c r="AM193" s="58"/>
      <c r="AN193" s="88" t="str">
        <f t="shared" si="81"/>
        <v>0xB0</v>
      </c>
    </row>
    <row r="194" hidden="1">
      <c r="A194" s="33" t="str">
        <f t="shared" si="2"/>
        <v>E90E</v>
      </c>
      <c r="B194" s="34" t="str">
        <f>IFERROR(__xludf.DUMMYFUNCTION("REGEXREPLACE($H194, ""(?i)^8301(E000|E100|E200|E300)?"", """")"),"E90E007BD255000000D25800000078B0")</f>
        <v>E90E007BD255000000D25800000078B0</v>
      </c>
      <c r="C194" s="36" t="s">
        <v>198</v>
      </c>
      <c r="D194" s="35"/>
      <c r="E194" s="36" t="s">
        <v>75</v>
      </c>
      <c r="F194" s="36" t="s">
        <v>120</v>
      </c>
      <c r="G194" s="37">
        <v>46219.0</v>
      </c>
      <c r="H194" s="38" t="s">
        <v>319</v>
      </c>
      <c r="I194" s="36"/>
      <c r="J194" s="39" t="str">
        <f t="shared" si="3"/>
        <v>0x0E</v>
      </c>
      <c r="K194" s="40" t="str">
        <f t="shared" si="4"/>
        <v>0x00</v>
      </c>
      <c r="L194" s="40" t="str">
        <f t="shared" si="5"/>
        <v>0x7B</v>
      </c>
      <c r="M194" s="169">
        <v>2.0</v>
      </c>
      <c r="N194" s="78" t="str">
        <f t="shared" ref="N194:N195" si="136">"0x"&amp;MID($B194,9,4)</f>
        <v>0xD255</v>
      </c>
      <c r="O194" s="72" t="str">
        <f t="shared" ref="O194:O195" si="137">"0x"&amp;MID($B194,13,2)</f>
        <v>0x00</v>
      </c>
      <c r="P194" s="72" t="str">
        <f t="shared" ref="P194:P195" si="138">"0x"&amp;MID($B194,15,2)</f>
        <v>0x00</v>
      </c>
      <c r="Q194" s="72" t="str">
        <f t="shared" ref="Q194:Q195" si="139">"0x"&amp;MID($B194,17,2)</f>
        <v>0x00</v>
      </c>
      <c r="R194" s="78" t="str">
        <f t="shared" ref="R194:R195" si="140">"0x"&amp;MID($B194,19,4)</f>
        <v>0xD258</v>
      </c>
      <c r="S194" s="72" t="str">
        <f t="shared" ref="S194:S195" si="141">"0x"&amp;MID($B194,23,2)</f>
        <v>0x00</v>
      </c>
      <c r="T194" s="72" t="str">
        <f t="shared" ref="T194:T195" si="142">"0x"&amp;MID($B194,25,2)</f>
        <v>0x00</v>
      </c>
      <c r="U194" s="72" t="str">
        <f t="shared" ref="U194:U195" si="143">"0x"&amp;MID($B194,27,2)</f>
        <v>0x00</v>
      </c>
      <c r="V194" s="73">
        <v>29.0</v>
      </c>
      <c r="W194" s="47" t="str">
        <f t="shared" si="72"/>
        <v>0x78</v>
      </c>
      <c r="X194" s="40"/>
      <c r="Y194" s="40"/>
      <c r="Z194" s="40"/>
      <c r="AA194" s="40"/>
      <c r="AB194" s="40"/>
      <c r="AC194" s="40"/>
      <c r="AD194" s="40"/>
      <c r="AE194" s="40"/>
      <c r="AF194" s="40"/>
      <c r="AG194" s="40"/>
      <c r="AH194" s="40"/>
      <c r="AI194" s="40"/>
      <c r="AJ194" s="40"/>
      <c r="AK194" s="40"/>
      <c r="AL194" s="40"/>
      <c r="AM194" s="40"/>
      <c r="AN194" s="75" t="str">
        <f t="shared" si="81"/>
        <v>0xB0</v>
      </c>
    </row>
    <row r="195" hidden="1">
      <c r="A195" s="51" t="str">
        <f t="shared" si="2"/>
        <v>E90E</v>
      </c>
      <c r="B195" s="52" t="str">
        <f>IFERROR(__xludf.DUMMYFUNCTION("REGEXREPLACE($H195, ""(?i)^8301(E000|E100|E200|E300)?"", """")"),"E90E00A7D255000000D25800000078B0")</f>
        <v>E90E00A7D255000000D25800000078B0</v>
      </c>
      <c r="C195" s="65" t="s">
        <v>198</v>
      </c>
      <c r="D195" s="53"/>
      <c r="E195" s="65" t="s">
        <v>75</v>
      </c>
      <c r="F195" s="65" t="s">
        <v>120</v>
      </c>
      <c r="G195" s="67">
        <v>46228.0</v>
      </c>
      <c r="H195" s="68" t="s">
        <v>320</v>
      </c>
      <c r="I195" s="65"/>
      <c r="J195" s="57" t="str">
        <f t="shared" si="3"/>
        <v>0x0E</v>
      </c>
      <c r="K195" s="58" t="str">
        <f t="shared" si="4"/>
        <v>0x00</v>
      </c>
      <c r="L195" s="58" t="str">
        <f t="shared" si="5"/>
        <v>0xA7</v>
      </c>
      <c r="M195" s="170">
        <v>2.0</v>
      </c>
      <c r="N195" s="83" t="str">
        <f t="shared" si="136"/>
        <v>0xD255</v>
      </c>
      <c r="O195" s="84" t="str">
        <f t="shared" si="137"/>
        <v>0x00</v>
      </c>
      <c r="P195" s="84" t="str">
        <f t="shared" si="138"/>
        <v>0x00</v>
      </c>
      <c r="Q195" s="84" t="str">
        <f t="shared" si="139"/>
        <v>0x00</v>
      </c>
      <c r="R195" s="83" t="str">
        <f t="shared" si="140"/>
        <v>0xD258</v>
      </c>
      <c r="S195" s="84" t="str">
        <f t="shared" si="141"/>
        <v>0x00</v>
      </c>
      <c r="T195" s="84" t="str">
        <f t="shared" si="142"/>
        <v>0x00</v>
      </c>
      <c r="U195" s="84" t="str">
        <f t="shared" si="143"/>
        <v>0x00</v>
      </c>
      <c r="V195" s="90">
        <v>29.0</v>
      </c>
      <c r="W195" s="62" t="str">
        <f t="shared" si="72"/>
        <v>0x78</v>
      </c>
      <c r="X195" s="58"/>
      <c r="Y195" s="58"/>
      <c r="Z195" s="58"/>
      <c r="AA195" s="58"/>
      <c r="AB195" s="58"/>
      <c r="AC195" s="58"/>
      <c r="AD195" s="58"/>
      <c r="AE195" s="58"/>
      <c r="AF195" s="58"/>
      <c r="AG195" s="58"/>
      <c r="AH195" s="58"/>
      <c r="AI195" s="58"/>
      <c r="AJ195" s="58"/>
      <c r="AK195" s="58"/>
      <c r="AL195" s="58"/>
      <c r="AM195" s="58"/>
      <c r="AN195" s="88" t="str">
        <f t="shared" si="81"/>
        <v>0xB0</v>
      </c>
    </row>
    <row r="196">
      <c r="A196" s="33" t="str">
        <f t="shared" si="2"/>
        <v>E90F</v>
      </c>
      <c r="B196" s="34" t="str">
        <f>IFERROR(__xludf.DUMMYFUNCTION("REGEXREPLACE($H196, ""(?i)^8301(E000|E100|E200|E300)?"", """")"),"E90F00010F555B5807488DD2462A0717B0")</f>
        <v>E90F00010F555B5807488DD2462A0717B0</v>
      </c>
      <c r="C196" s="36" t="s">
        <v>25</v>
      </c>
      <c r="D196" s="36"/>
      <c r="E196" s="36" t="s">
        <v>217</v>
      </c>
      <c r="F196" s="36" t="s">
        <v>218</v>
      </c>
      <c r="G196" s="37">
        <v>46244.0</v>
      </c>
      <c r="H196" s="38" t="s">
        <v>461</v>
      </c>
      <c r="I196" s="36"/>
      <c r="J196" s="39" t="str">
        <f t="shared" si="3"/>
        <v>0x0F</v>
      </c>
      <c r="K196" s="40" t="str">
        <f t="shared" si="4"/>
        <v>0x00</v>
      </c>
      <c r="L196" s="40" t="str">
        <f t="shared" si="5"/>
        <v>0x01</v>
      </c>
      <c r="M196" s="42">
        <v>2.0</v>
      </c>
      <c r="N196" s="42" t="str">
        <f t="shared" ref="N196:N202" si="145">"0x"&amp;MID($B196,9,2)</f>
        <v>0x0F</v>
      </c>
      <c r="O196" s="48" t="str">
        <f t="shared" ref="O196:O202" si="146">"0x"&amp;MID($B196,11,2)</f>
        <v>0x55</v>
      </c>
      <c r="P196" s="48" t="str">
        <f t="shared" ref="P196:P197" si="147">"0x"&amp;MID($B196,13,2)</f>
        <v>0x5B</v>
      </c>
      <c r="Q196" s="45"/>
      <c r="R196" s="46"/>
      <c r="S196" s="45"/>
      <c r="T196" s="45"/>
      <c r="U196" s="45"/>
      <c r="V196" s="40">
        <v>15.0</v>
      </c>
      <c r="W196" s="40" t="str">
        <f t="shared" si="72"/>
        <v>0x58</v>
      </c>
      <c r="X196" s="40" t="str">
        <f t="shared" ref="X196:AE196" si="144">"0x" &amp; MID($B196,$V196  + 2*(COLUMN() - COLUMN($W196)), 2)</f>
        <v>0x07</v>
      </c>
      <c r="Y196" s="40" t="str">
        <f t="shared" si="144"/>
        <v>0x48</v>
      </c>
      <c r="Z196" s="40" t="str">
        <f t="shared" si="144"/>
        <v>0x8D</v>
      </c>
      <c r="AA196" s="40" t="str">
        <f t="shared" si="144"/>
        <v>0xD2</v>
      </c>
      <c r="AB196" s="40" t="str">
        <f t="shared" si="144"/>
        <v>0x46</v>
      </c>
      <c r="AC196" s="40" t="str">
        <f t="shared" si="144"/>
        <v>0x2A</v>
      </c>
      <c r="AD196" s="40" t="str">
        <f t="shared" si="144"/>
        <v>0x07</v>
      </c>
      <c r="AE196" s="40" t="str">
        <f t="shared" si="144"/>
        <v>0x17</v>
      </c>
      <c r="AF196" s="40"/>
      <c r="AG196" s="40"/>
      <c r="AH196" s="40"/>
      <c r="AI196" s="40"/>
      <c r="AJ196" s="40"/>
      <c r="AK196" s="40"/>
      <c r="AL196" s="40"/>
      <c r="AM196" s="40"/>
      <c r="AN196" s="75" t="str">
        <f t="shared" ref="AN196:AN202" si="149">"0x"&amp;MID($B196,33,2)</f>
        <v>0xB0</v>
      </c>
    </row>
    <row r="197" hidden="1">
      <c r="A197" s="51" t="str">
        <f t="shared" si="2"/>
        <v>E90F</v>
      </c>
      <c r="B197" s="52" t="str">
        <f>IFERROR(__xludf.DUMMYFUNCTION("REGEXREPLACE($H197, ""(?i)^8301(E000|E100|E200|E300)?"", """")"),"E90F00010F5D5B5803488DD246020300B0")</f>
        <v>E90F00010F5D5B5803488DD246020300B0</v>
      </c>
      <c r="C197" s="65" t="s">
        <v>30</v>
      </c>
      <c r="D197" s="65" t="s">
        <v>511</v>
      </c>
      <c r="E197" s="65" t="s">
        <v>106</v>
      </c>
      <c r="F197" s="65" t="s">
        <v>175</v>
      </c>
      <c r="G197" s="67">
        <v>46220.0</v>
      </c>
      <c r="H197" s="68" t="s">
        <v>325</v>
      </c>
      <c r="I197" s="65"/>
      <c r="J197" s="57" t="str">
        <f t="shared" si="3"/>
        <v>0x0F</v>
      </c>
      <c r="K197" s="58" t="str">
        <f t="shared" si="4"/>
        <v>0x00</v>
      </c>
      <c r="L197" s="58" t="str">
        <f t="shared" si="5"/>
        <v>0x01</v>
      </c>
      <c r="M197" s="59">
        <v>2.0</v>
      </c>
      <c r="N197" s="59" t="str">
        <f t="shared" si="145"/>
        <v>0x0F</v>
      </c>
      <c r="O197" s="71" t="str">
        <f t="shared" si="146"/>
        <v>0x5D</v>
      </c>
      <c r="P197" s="71" t="str">
        <f t="shared" si="147"/>
        <v>0x5B</v>
      </c>
      <c r="Q197" s="71"/>
      <c r="R197" s="59"/>
      <c r="S197" s="71"/>
      <c r="T197" s="71"/>
      <c r="U197" s="71"/>
      <c r="V197" s="58">
        <v>15.0</v>
      </c>
      <c r="W197" s="58" t="str">
        <f t="shared" si="72"/>
        <v>0x58</v>
      </c>
      <c r="X197" s="58" t="str">
        <f t="shared" ref="X197:AE197" si="148">"0x" &amp; MID($B197,$V197  + 2*(COLUMN() - COLUMN($W197)), 2)</f>
        <v>0x03</v>
      </c>
      <c r="Y197" s="58" t="str">
        <f t="shared" si="148"/>
        <v>0x48</v>
      </c>
      <c r="Z197" s="58" t="str">
        <f t="shared" si="148"/>
        <v>0x8D</v>
      </c>
      <c r="AA197" s="58" t="str">
        <f t="shared" si="148"/>
        <v>0xD2</v>
      </c>
      <c r="AB197" s="58" t="str">
        <f t="shared" si="148"/>
        <v>0x46</v>
      </c>
      <c r="AC197" s="58" t="str">
        <f t="shared" si="148"/>
        <v>0x02</v>
      </c>
      <c r="AD197" s="58" t="str">
        <f t="shared" si="148"/>
        <v>0x03</v>
      </c>
      <c r="AE197" s="58" t="str">
        <f t="shared" si="148"/>
        <v>0x00</v>
      </c>
      <c r="AF197" s="58"/>
      <c r="AG197" s="58"/>
      <c r="AH197" s="58"/>
      <c r="AI197" s="58"/>
      <c r="AJ197" s="58"/>
      <c r="AK197" s="58"/>
      <c r="AL197" s="58"/>
      <c r="AM197" s="58"/>
      <c r="AN197" s="88" t="str">
        <f t="shared" si="149"/>
        <v>0xB0</v>
      </c>
    </row>
    <row r="198" hidden="1">
      <c r="A198" s="33" t="str">
        <f t="shared" si="2"/>
        <v>E90F</v>
      </c>
      <c r="B198" s="34" t="str">
        <f>IFERROR(__xludf.DUMMYFUNCTION("REGEXREPLACE($H198, ""(?i)^8301(E000|E100|E200|E300)?"", """")"),"E90F000F0EEF7AEC5C022814281448ABB0")</f>
        <v>E90F000F0EEF7AEC5C022814281448ABB0</v>
      </c>
      <c r="C198" s="36" t="s">
        <v>18</v>
      </c>
      <c r="D198" s="36" t="s">
        <v>512</v>
      </c>
      <c r="E198" s="36" t="s">
        <v>75</v>
      </c>
      <c r="F198" s="36" t="s">
        <v>120</v>
      </c>
      <c r="G198" s="37">
        <v>46219.0</v>
      </c>
      <c r="H198" s="38" t="s">
        <v>327</v>
      </c>
      <c r="I198" s="36"/>
      <c r="J198" s="39" t="str">
        <f t="shared" si="3"/>
        <v>0x0F</v>
      </c>
      <c r="K198" s="40" t="str">
        <f t="shared" si="4"/>
        <v>0x00</v>
      </c>
      <c r="L198" s="40" t="str">
        <f t="shared" si="5"/>
        <v>0x0F</v>
      </c>
      <c r="M198" s="42">
        <v>1.0</v>
      </c>
      <c r="N198" s="42" t="str">
        <f t="shared" si="145"/>
        <v>0x0E</v>
      </c>
      <c r="O198" s="48" t="str">
        <f t="shared" si="146"/>
        <v>0xEF</v>
      </c>
      <c r="P198" s="48"/>
      <c r="Q198" s="48"/>
      <c r="R198" s="42"/>
      <c r="S198" s="48"/>
      <c r="T198" s="48"/>
      <c r="U198" s="48"/>
      <c r="V198" s="40">
        <v>13.0</v>
      </c>
      <c r="W198" s="40" t="str">
        <f t="shared" si="72"/>
        <v>0x7A</v>
      </c>
      <c r="X198" s="40" t="str">
        <f t="shared" ref="X198:AF198" si="150">"0x" &amp; MID($B198,$V198  + 2*(COLUMN() - COLUMN($W198)), 2)</f>
        <v>0xEC</v>
      </c>
      <c r="Y198" s="40" t="str">
        <f t="shared" si="150"/>
        <v>0x5C</v>
      </c>
      <c r="Z198" s="40" t="str">
        <f t="shared" si="150"/>
        <v>0x02</v>
      </c>
      <c r="AA198" s="40" t="str">
        <f t="shared" si="150"/>
        <v>0x28</v>
      </c>
      <c r="AB198" s="40" t="str">
        <f t="shared" si="150"/>
        <v>0x14</v>
      </c>
      <c r="AC198" s="40" t="str">
        <f t="shared" si="150"/>
        <v>0x28</v>
      </c>
      <c r="AD198" s="40" t="str">
        <f t="shared" si="150"/>
        <v>0x14</v>
      </c>
      <c r="AE198" s="40" t="str">
        <f t="shared" si="150"/>
        <v>0x48</v>
      </c>
      <c r="AF198" s="40" t="str">
        <f t="shared" si="150"/>
        <v>0xAB</v>
      </c>
      <c r="AG198" s="40"/>
      <c r="AH198" s="40"/>
      <c r="AI198" s="40"/>
      <c r="AJ198" s="40"/>
      <c r="AK198" s="40"/>
      <c r="AL198" s="40"/>
      <c r="AM198" s="40"/>
      <c r="AN198" s="75" t="str">
        <f t="shared" si="149"/>
        <v>0xB0</v>
      </c>
    </row>
    <row r="199" hidden="1">
      <c r="A199" s="51" t="str">
        <f t="shared" si="2"/>
        <v>E90F</v>
      </c>
      <c r="B199" s="52" t="str">
        <f>IFERROR(__xludf.DUMMYFUNCTION("REGEXREPLACE($H199, ""(?i)^8301(E000|E100|E200|E300)?"", """")"),"E90F00110EF17AEC5C012814281448ABB0")</f>
        <v>E90F00110EF17AEC5C012814281448ABB0</v>
      </c>
      <c r="C199" s="65" t="s">
        <v>18</v>
      </c>
      <c r="D199" s="65" t="s">
        <v>514</v>
      </c>
      <c r="E199" s="65" t="s">
        <v>75</v>
      </c>
      <c r="F199" s="65" t="s">
        <v>120</v>
      </c>
      <c r="G199" s="67">
        <v>46219.0</v>
      </c>
      <c r="H199" s="68" t="s">
        <v>328</v>
      </c>
      <c r="I199" s="65"/>
      <c r="J199" s="57" t="str">
        <f t="shared" si="3"/>
        <v>0x0F</v>
      </c>
      <c r="K199" s="58" t="str">
        <f t="shared" si="4"/>
        <v>0x00</v>
      </c>
      <c r="L199" s="58" t="str">
        <f t="shared" si="5"/>
        <v>0x11</v>
      </c>
      <c r="M199" s="59">
        <v>1.0</v>
      </c>
      <c r="N199" s="59" t="str">
        <f t="shared" si="145"/>
        <v>0x0E</v>
      </c>
      <c r="O199" s="71" t="str">
        <f t="shared" si="146"/>
        <v>0xF1</v>
      </c>
      <c r="P199" s="71"/>
      <c r="Q199" s="71"/>
      <c r="R199" s="59"/>
      <c r="S199" s="71"/>
      <c r="T199" s="71"/>
      <c r="U199" s="71"/>
      <c r="V199" s="58">
        <v>13.0</v>
      </c>
      <c r="W199" s="58" t="str">
        <f t="shared" si="72"/>
        <v>0x7A</v>
      </c>
      <c r="X199" s="58" t="str">
        <f t="shared" ref="X199:AF199" si="151">"0x" &amp; MID($B199,$V199  + 2*(COLUMN() - COLUMN($W199)), 2)</f>
        <v>0xEC</v>
      </c>
      <c r="Y199" s="58" t="str">
        <f t="shared" si="151"/>
        <v>0x5C</v>
      </c>
      <c r="Z199" s="58" t="str">
        <f t="shared" si="151"/>
        <v>0x01</v>
      </c>
      <c r="AA199" s="58" t="str">
        <f t="shared" si="151"/>
        <v>0x28</v>
      </c>
      <c r="AB199" s="58" t="str">
        <f t="shared" si="151"/>
        <v>0x14</v>
      </c>
      <c r="AC199" s="58" t="str">
        <f t="shared" si="151"/>
        <v>0x28</v>
      </c>
      <c r="AD199" s="58" t="str">
        <f t="shared" si="151"/>
        <v>0x14</v>
      </c>
      <c r="AE199" s="58" t="str">
        <f t="shared" si="151"/>
        <v>0x48</v>
      </c>
      <c r="AF199" s="58" t="str">
        <f t="shared" si="151"/>
        <v>0xAB</v>
      </c>
      <c r="AG199" s="58"/>
      <c r="AH199" s="58"/>
      <c r="AI199" s="58"/>
      <c r="AJ199" s="58"/>
      <c r="AK199" s="58"/>
      <c r="AL199" s="58"/>
      <c r="AM199" s="58"/>
      <c r="AN199" s="88" t="str">
        <f t="shared" si="149"/>
        <v>0xB0</v>
      </c>
    </row>
    <row r="200" hidden="1">
      <c r="A200" s="33" t="str">
        <f t="shared" si="2"/>
        <v>E90F</v>
      </c>
      <c r="B200" s="34" t="str">
        <f>IFERROR(__xludf.DUMMYFUNCTION("REGEXREPLACE($H200, ""(?i)^8301(E000|E100|E200|E300)?"", """")"),"E90F00240EEF7AEC5C012814281448ABB0")</f>
        <v>E90F00240EEF7AEC5C012814281448ABB0</v>
      </c>
      <c r="C200" s="36" t="s">
        <v>18</v>
      </c>
      <c r="D200" s="36" t="s">
        <v>530</v>
      </c>
      <c r="E200" s="41" t="s">
        <v>75</v>
      </c>
      <c r="F200" s="41" t="s">
        <v>76</v>
      </c>
      <c r="G200" s="43">
        <v>46235.0</v>
      </c>
      <c r="H200" s="44" t="s">
        <v>332</v>
      </c>
      <c r="I200" s="36"/>
      <c r="J200" s="39" t="str">
        <f t="shared" si="3"/>
        <v>0x0F</v>
      </c>
      <c r="K200" s="40" t="str">
        <f t="shared" si="4"/>
        <v>0x00</v>
      </c>
      <c r="L200" s="40" t="str">
        <f t="shared" si="5"/>
        <v>0x24</v>
      </c>
      <c r="M200" s="42">
        <v>1.0</v>
      </c>
      <c r="N200" s="42" t="str">
        <f t="shared" si="145"/>
        <v>0x0E</v>
      </c>
      <c r="O200" s="48" t="str">
        <f t="shared" si="146"/>
        <v>0xEF</v>
      </c>
      <c r="P200" s="48"/>
      <c r="Q200" s="48"/>
      <c r="R200" s="42"/>
      <c r="S200" s="48"/>
      <c r="T200" s="48"/>
      <c r="U200" s="48"/>
      <c r="V200" s="40">
        <v>13.0</v>
      </c>
      <c r="W200" s="40" t="str">
        <f t="shared" si="72"/>
        <v>0x7A</v>
      </c>
      <c r="X200" s="40" t="str">
        <f t="shared" ref="X200:AF200" si="152">"0x" &amp; MID($B200,$V200  + 2*(COLUMN() - COLUMN($W200)), 2)</f>
        <v>0xEC</v>
      </c>
      <c r="Y200" s="40" t="str">
        <f t="shared" si="152"/>
        <v>0x5C</v>
      </c>
      <c r="Z200" s="40" t="str">
        <f t="shared" si="152"/>
        <v>0x01</v>
      </c>
      <c r="AA200" s="40" t="str">
        <f t="shared" si="152"/>
        <v>0x28</v>
      </c>
      <c r="AB200" s="40" t="str">
        <f t="shared" si="152"/>
        <v>0x14</v>
      </c>
      <c r="AC200" s="40" t="str">
        <f t="shared" si="152"/>
        <v>0x28</v>
      </c>
      <c r="AD200" s="40" t="str">
        <f t="shared" si="152"/>
        <v>0x14</v>
      </c>
      <c r="AE200" s="40" t="str">
        <f t="shared" si="152"/>
        <v>0x48</v>
      </c>
      <c r="AF200" s="40" t="str">
        <f t="shared" si="152"/>
        <v>0xAB</v>
      </c>
      <c r="AG200" s="40"/>
      <c r="AH200" s="40"/>
      <c r="AI200" s="40"/>
      <c r="AJ200" s="40"/>
      <c r="AK200" s="40"/>
      <c r="AL200" s="40"/>
      <c r="AM200" s="40"/>
      <c r="AN200" s="75" t="str">
        <f t="shared" si="149"/>
        <v>0xB0</v>
      </c>
    </row>
    <row r="201">
      <c r="A201" s="51" t="str">
        <f t="shared" si="2"/>
        <v>E90F</v>
      </c>
      <c r="B201" s="52" t="str">
        <f>IFERROR(__xludf.DUMMYFUNCTION("REGEXREPLACE($H201, ""(?i)^8301(E000|E100|E200|E300)?"", """")"),"E90F00480EEF7AEC5C0D2814281448ABB0")</f>
        <v>E90F00480EEF7AEC5C0D2814281448ABB0</v>
      </c>
      <c r="C201" s="65" t="s">
        <v>531</v>
      </c>
      <c r="D201" s="65" t="s">
        <v>513</v>
      </c>
      <c r="E201" s="65" t="s">
        <v>217</v>
      </c>
      <c r="F201" s="65" t="s">
        <v>218</v>
      </c>
      <c r="G201" s="67">
        <v>46244.0</v>
      </c>
      <c r="H201" s="68" t="s">
        <v>444</v>
      </c>
      <c r="I201" s="65"/>
      <c r="J201" s="57" t="str">
        <f t="shared" si="3"/>
        <v>0x0F</v>
      </c>
      <c r="K201" s="58" t="str">
        <f t="shared" si="4"/>
        <v>0x00</v>
      </c>
      <c r="L201" s="58" t="str">
        <f t="shared" si="5"/>
        <v>0x48</v>
      </c>
      <c r="M201" s="59">
        <v>1.0</v>
      </c>
      <c r="N201" s="59" t="str">
        <f t="shared" si="145"/>
        <v>0x0E</v>
      </c>
      <c r="O201" s="71" t="str">
        <f t="shared" si="146"/>
        <v>0xEF</v>
      </c>
      <c r="P201" s="71"/>
      <c r="Q201" s="71"/>
      <c r="R201" s="59"/>
      <c r="S201" s="71"/>
      <c r="T201" s="71"/>
      <c r="U201" s="71"/>
      <c r="V201" s="58">
        <v>13.0</v>
      </c>
      <c r="W201" s="58" t="str">
        <f t="shared" si="72"/>
        <v>0x7A</v>
      </c>
      <c r="X201" s="58" t="str">
        <f t="shared" ref="X201:AF201" si="153">"0x" &amp; MID($B201,$V201  + 2*(COLUMN() - COLUMN($W201)), 2)</f>
        <v>0xEC</v>
      </c>
      <c r="Y201" s="58" t="str">
        <f t="shared" si="153"/>
        <v>0x5C</v>
      </c>
      <c r="Z201" s="58" t="str">
        <f t="shared" si="153"/>
        <v>0x0D</v>
      </c>
      <c r="AA201" s="58" t="str">
        <f t="shared" si="153"/>
        <v>0x28</v>
      </c>
      <c r="AB201" s="58" t="str">
        <f t="shared" si="153"/>
        <v>0x14</v>
      </c>
      <c r="AC201" s="58" t="str">
        <f t="shared" si="153"/>
        <v>0x28</v>
      </c>
      <c r="AD201" s="58" t="str">
        <f t="shared" si="153"/>
        <v>0x14</v>
      </c>
      <c r="AE201" s="58" t="str">
        <f t="shared" si="153"/>
        <v>0x48</v>
      </c>
      <c r="AF201" s="58" t="str">
        <f t="shared" si="153"/>
        <v>0xAB</v>
      </c>
      <c r="AG201" s="58"/>
      <c r="AH201" s="58"/>
      <c r="AI201" s="58"/>
      <c r="AJ201" s="58"/>
      <c r="AK201" s="58"/>
      <c r="AL201" s="58"/>
      <c r="AM201" s="58"/>
      <c r="AN201" s="88" t="str">
        <f t="shared" si="149"/>
        <v>0xB0</v>
      </c>
    </row>
    <row r="202">
      <c r="A202" s="33" t="str">
        <f t="shared" si="2"/>
        <v>E90F</v>
      </c>
      <c r="B202" s="34" t="str">
        <f>IFERROR(__xludf.DUMMYFUNCTION("REGEXREPLACE($H202, ""(?i)^8301(E000|E100|E200|E300)?"", """")"),"E90F004F0F4F41580F488DD246020F55B0")</f>
        <v>E90F004F0F4F41580F488DD246020F55B0</v>
      </c>
      <c r="C202" s="36" t="s">
        <v>18</v>
      </c>
      <c r="D202" s="36" t="s">
        <v>513</v>
      </c>
      <c r="E202" s="36" t="s">
        <v>217</v>
      </c>
      <c r="F202" s="36" t="s">
        <v>218</v>
      </c>
      <c r="G202" s="37">
        <v>46244.0</v>
      </c>
      <c r="H202" s="38" t="s">
        <v>456</v>
      </c>
      <c r="I202" s="36"/>
      <c r="J202" s="39" t="str">
        <f t="shared" si="3"/>
        <v>0x0F</v>
      </c>
      <c r="K202" s="40" t="str">
        <f t="shared" si="4"/>
        <v>0x00</v>
      </c>
      <c r="L202" s="40" t="str">
        <f t="shared" si="5"/>
        <v>0x4F</v>
      </c>
      <c r="M202" s="42">
        <v>2.0</v>
      </c>
      <c r="N202" s="42" t="str">
        <f t="shared" si="145"/>
        <v>0x0F</v>
      </c>
      <c r="O202" s="48" t="str">
        <f t="shared" si="146"/>
        <v>0x4F</v>
      </c>
      <c r="P202" s="48" t="str">
        <f>"0x"&amp;MID($B202,13,2)</f>
        <v>0x41</v>
      </c>
      <c r="Q202" s="48"/>
      <c r="R202" s="42"/>
      <c r="S202" s="48"/>
      <c r="T202" s="48"/>
      <c r="U202" s="48"/>
      <c r="V202" s="40">
        <v>15.0</v>
      </c>
      <c r="W202" s="40" t="str">
        <f t="shared" si="72"/>
        <v>0x58</v>
      </c>
      <c r="X202" s="40" t="str">
        <f t="shared" ref="X202:AE202" si="154">"0x" &amp; MID($B202,$V202  + 2*(COLUMN() - COLUMN($W202)), 2)</f>
        <v>0x0F</v>
      </c>
      <c r="Y202" s="40" t="str">
        <f t="shared" si="154"/>
        <v>0x48</v>
      </c>
      <c r="Z202" s="40" t="str">
        <f t="shared" si="154"/>
        <v>0x8D</v>
      </c>
      <c r="AA202" s="40" t="str">
        <f t="shared" si="154"/>
        <v>0xD2</v>
      </c>
      <c r="AB202" s="40" t="str">
        <f t="shared" si="154"/>
        <v>0x46</v>
      </c>
      <c r="AC202" s="40" t="str">
        <f t="shared" si="154"/>
        <v>0x02</v>
      </c>
      <c r="AD202" s="40" t="str">
        <f t="shared" si="154"/>
        <v>0x0F</v>
      </c>
      <c r="AE202" s="40" t="str">
        <f t="shared" si="154"/>
        <v>0x55</v>
      </c>
      <c r="AF202" s="40"/>
      <c r="AG202" s="40"/>
      <c r="AH202" s="40"/>
      <c r="AI202" s="40"/>
      <c r="AJ202" s="40"/>
      <c r="AK202" s="40"/>
      <c r="AL202" s="40"/>
      <c r="AM202" s="40"/>
      <c r="AN202" s="75" t="str">
        <f t="shared" si="149"/>
        <v>0xB0</v>
      </c>
    </row>
    <row r="203" hidden="1">
      <c r="A203" s="51" t="str">
        <f t="shared" si="2"/>
        <v>E90F</v>
      </c>
      <c r="B203" s="52" t="str">
        <f>IFERROR(__xludf.DUMMYFUNCTION("REGEXREPLACE($H203, ""(?i)^8301(E000|E100|E200|E300)?"", """")"),"E90F004F4897D00E80D146091E30D04E00")</f>
        <v>E90F004F4897D00E80D146091E30D04E00</v>
      </c>
      <c r="C203" s="65" t="s">
        <v>60</v>
      </c>
      <c r="D203" s="65" t="s">
        <v>473</v>
      </c>
      <c r="E203" s="65" t="s">
        <v>106</v>
      </c>
      <c r="F203" s="65" t="s">
        <v>107</v>
      </c>
      <c r="G203" s="67">
        <v>46220.0</v>
      </c>
      <c r="H203" s="68" t="s">
        <v>329</v>
      </c>
      <c r="I203" s="65"/>
      <c r="J203" s="91" t="str">
        <f t="shared" si="3"/>
        <v>0x0F</v>
      </c>
      <c r="K203" s="62" t="str">
        <f t="shared" si="4"/>
        <v>0x00</v>
      </c>
      <c r="L203" s="62" t="str">
        <f t="shared" si="5"/>
        <v>0x4F</v>
      </c>
      <c r="M203" s="86"/>
      <c r="N203" s="86"/>
      <c r="O203" s="85"/>
      <c r="P203" s="85"/>
      <c r="Q203" s="85"/>
      <c r="R203" s="86"/>
      <c r="S203" s="85"/>
      <c r="T203" s="85"/>
      <c r="U203" s="85"/>
      <c r="V203" s="90">
        <v>9.0</v>
      </c>
      <c r="W203" s="62" t="str">
        <f t="shared" si="72"/>
        <v>0x48</v>
      </c>
      <c r="X203" s="62" t="str">
        <f t="shared" ref="X203:AI203" si="155">"0x" &amp; MID($B203,$V203  + 2*(COLUMN() - COLUMN($W203)), 2)</f>
        <v>0x97</v>
      </c>
      <c r="Y203" s="62" t="str">
        <f t="shared" si="155"/>
        <v>0xD0</v>
      </c>
      <c r="Z203" s="62" t="str">
        <f t="shared" si="155"/>
        <v>0x0E</v>
      </c>
      <c r="AA203" s="62" t="str">
        <f t="shared" si="155"/>
        <v>0x80</v>
      </c>
      <c r="AB203" s="62" t="str">
        <f t="shared" si="155"/>
        <v>0xD1</v>
      </c>
      <c r="AC203" s="62" t="str">
        <f t="shared" si="155"/>
        <v>0x46</v>
      </c>
      <c r="AD203" s="62" t="str">
        <f t="shared" si="155"/>
        <v>0x09</v>
      </c>
      <c r="AE203" s="62" t="str">
        <f t="shared" si="155"/>
        <v>0x1E</v>
      </c>
      <c r="AF203" s="62" t="str">
        <f t="shared" si="155"/>
        <v>0x30</v>
      </c>
      <c r="AG203" s="62" t="str">
        <f t="shared" si="155"/>
        <v>0xD0</v>
      </c>
      <c r="AH203" s="62" t="str">
        <f t="shared" si="155"/>
        <v>0x4E</v>
      </c>
      <c r="AI203" s="62" t="str">
        <f t="shared" si="155"/>
        <v>0x00</v>
      </c>
      <c r="AJ203" s="62"/>
      <c r="AK203" s="62"/>
      <c r="AL203" s="62"/>
      <c r="AM203" s="62"/>
      <c r="AN203" s="74"/>
    </row>
    <row r="204" hidden="1">
      <c r="A204" s="33" t="str">
        <f t="shared" si="2"/>
        <v>E90F</v>
      </c>
      <c r="B204" s="34" t="str">
        <f>IFERROR(__xludf.DUMMYFUNCTION("REGEXREPLACE($H204, ""(?i)^8301(E000|E100|E200|E300)?"", """")"),"E90F00520EF17AEC5C022814281448ABB0")</f>
        <v>E90F00520EF17AEC5C022814281448ABB0</v>
      </c>
      <c r="C204" s="36" t="s">
        <v>18</v>
      </c>
      <c r="D204" s="36" t="s">
        <v>512</v>
      </c>
      <c r="E204" s="36" t="s">
        <v>75</v>
      </c>
      <c r="F204" s="36" t="s">
        <v>120</v>
      </c>
      <c r="G204" s="37">
        <v>46219.0</v>
      </c>
      <c r="H204" s="38" t="s">
        <v>330</v>
      </c>
      <c r="I204" s="36"/>
      <c r="J204" s="39" t="str">
        <f t="shared" si="3"/>
        <v>0x0F</v>
      </c>
      <c r="K204" s="40" t="str">
        <f t="shared" si="4"/>
        <v>0x00</v>
      </c>
      <c r="L204" s="40" t="str">
        <f t="shared" si="5"/>
        <v>0x52</v>
      </c>
      <c r="M204" s="42">
        <v>1.0</v>
      </c>
      <c r="N204" s="42" t="str">
        <f t="shared" ref="N204:N207" si="157">"0x"&amp;MID($B204,9,2)</f>
        <v>0x0E</v>
      </c>
      <c r="O204" s="48" t="str">
        <f t="shared" ref="O204:O207" si="158">"0x"&amp;MID($B204,11,2)</f>
        <v>0xF1</v>
      </c>
      <c r="P204" s="48"/>
      <c r="Q204" s="48"/>
      <c r="R204" s="42"/>
      <c r="S204" s="48"/>
      <c r="T204" s="48"/>
      <c r="U204" s="48"/>
      <c r="V204" s="40">
        <v>13.0</v>
      </c>
      <c r="W204" s="40" t="str">
        <f t="shared" si="72"/>
        <v>0x7A</v>
      </c>
      <c r="X204" s="40" t="str">
        <f t="shared" ref="X204:AF204" si="156">"0x" &amp; MID($B204,$V204  + 2*(COLUMN() - COLUMN($W204)), 2)</f>
        <v>0xEC</v>
      </c>
      <c r="Y204" s="40" t="str">
        <f t="shared" si="156"/>
        <v>0x5C</v>
      </c>
      <c r="Z204" s="40" t="str">
        <f t="shared" si="156"/>
        <v>0x02</v>
      </c>
      <c r="AA204" s="40" t="str">
        <f t="shared" si="156"/>
        <v>0x28</v>
      </c>
      <c r="AB204" s="40" t="str">
        <f t="shared" si="156"/>
        <v>0x14</v>
      </c>
      <c r="AC204" s="40" t="str">
        <f t="shared" si="156"/>
        <v>0x28</v>
      </c>
      <c r="AD204" s="40" t="str">
        <f t="shared" si="156"/>
        <v>0x14</v>
      </c>
      <c r="AE204" s="40" t="str">
        <f t="shared" si="156"/>
        <v>0x48</v>
      </c>
      <c r="AF204" s="40" t="str">
        <f t="shared" si="156"/>
        <v>0xAB</v>
      </c>
      <c r="AG204" s="40"/>
      <c r="AH204" s="40"/>
      <c r="AI204" s="40"/>
      <c r="AJ204" s="40"/>
      <c r="AK204" s="40"/>
      <c r="AL204" s="40"/>
      <c r="AM204" s="40"/>
      <c r="AN204" s="75" t="str">
        <f>"0x"&amp;MID($B204,33,2)</f>
        <v>0xB0</v>
      </c>
    </row>
    <row r="205" hidden="1">
      <c r="A205" s="51" t="str">
        <f t="shared" si="2"/>
        <v>E90F</v>
      </c>
      <c r="B205" s="52" t="str">
        <f>IFERROR(__xludf.DUMMYFUNCTION("REGEXREPLACE($H205, ""(?i)^8301(E000|E100|E200|E300)?"", """")"),"E90F00CF0F524D488FD1412AC8D1460701")</f>
        <v>E90F00CF0F524D488FD1412AC8D1460701</v>
      </c>
      <c r="C205" s="65" t="s">
        <v>42</v>
      </c>
      <c r="D205" s="65" t="s">
        <v>383</v>
      </c>
      <c r="E205" s="65" t="s">
        <v>106</v>
      </c>
      <c r="F205" s="65" t="s">
        <v>107</v>
      </c>
      <c r="G205" s="67">
        <v>46220.0</v>
      </c>
      <c r="H205" s="68" t="s">
        <v>331</v>
      </c>
      <c r="I205" s="65"/>
      <c r="J205" s="57" t="str">
        <f t="shared" si="3"/>
        <v>0x0F</v>
      </c>
      <c r="K205" s="58" t="str">
        <f t="shared" si="4"/>
        <v>0x00</v>
      </c>
      <c r="L205" s="58" t="str">
        <f t="shared" si="5"/>
        <v>0xCF</v>
      </c>
      <c r="M205" s="59">
        <v>2.0</v>
      </c>
      <c r="N205" s="59" t="str">
        <f t="shared" si="157"/>
        <v>0x0F</v>
      </c>
      <c r="O205" s="71" t="str">
        <f t="shared" si="158"/>
        <v>0x52</v>
      </c>
      <c r="P205" s="71" t="str">
        <f t="shared" ref="P205:P207" si="160">"0x"&amp;MID($B205,13,2)</f>
        <v>0x4D</v>
      </c>
      <c r="Q205" s="71"/>
      <c r="R205" s="59"/>
      <c r="S205" s="71"/>
      <c r="T205" s="71"/>
      <c r="U205" s="71"/>
      <c r="V205" s="58">
        <v>15.0</v>
      </c>
      <c r="W205" s="58" t="str">
        <f t="shared" si="72"/>
        <v>0x48</v>
      </c>
      <c r="X205" s="58" t="str">
        <f t="shared" ref="X205:AF205" si="159">"0x" &amp; MID($B205,$V205  + 2*(COLUMN() - COLUMN($W205)), 2)</f>
        <v>0x8F</v>
      </c>
      <c r="Y205" s="58" t="str">
        <f t="shared" si="159"/>
        <v>0xD1</v>
      </c>
      <c r="Z205" s="58" t="str">
        <f t="shared" si="159"/>
        <v>0x41</v>
      </c>
      <c r="AA205" s="58" t="str">
        <f t="shared" si="159"/>
        <v>0x2A</v>
      </c>
      <c r="AB205" s="58" t="str">
        <f t="shared" si="159"/>
        <v>0xC8</v>
      </c>
      <c r="AC205" s="58" t="str">
        <f t="shared" si="159"/>
        <v>0xD1</v>
      </c>
      <c r="AD205" s="58" t="str">
        <f t="shared" si="159"/>
        <v>0x46</v>
      </c>
      <c r="AE205" s="58" t="str">
        <f t="shared" si="159"/>
        <v>0x07</v>
      </c>
      <c r="AF205" s="58" t="str">
        <f t="shared" si="159"/>
        <v>0x01</v>
      </c>
      <c r="AG205" s="58"/>
      <c r="AH205" s="58"/>
      <c r="AI205" s="58"/>
      <c r="AJ205" s="58"/>
      <c r="AK205" s="58"/>
      <c r="AL205" s="58"/>
      <c r="AM205" s="58"/>
      <c r="AN205" s="88"/>
    </row>
    <row r="206">
      <c r="A206" s="33" t="str">
        <f t="shared" si="2"/>
        <v>E910</v>
      </c>
      <c r="B206" s="34" t="str">
        <f>IFERROR(__xludf.DUMMYFUNCTION("REGEXREPLACE($H206, ""(?i)^8301(E000|E100|E200|E300)?"", """")"),"E91000010F5353F5A0D037F2D241C60500B0")</f>
        <v>E91000010F5353F5A0D037F2D241C60500B0</v>
      </c>
      <c r="C206" s="36" t="s">
        <v>30</v>
      </c>
      <c r="D206" s="36"/>
      <c r="E206" s="36" t="s">
        <v>217</v>
      </c>
      <c r="F206" s="36" t="s">
        <v>218</v>
      </c>
      <c r="G206" s="37">
        <v>46244.0</v>
      </c>
      <c r="H206" s="38" t="s">
        <v>451</v>
      </c>
      <c r="I206" s="36"/>
      <c r="J206" s="39" t="str">
        <f t="shared" si="3"/>
        <v>0x10</v>
      </c>
      <c r="K206" s="40" t="str">
        <f t="shared" si="4"/>
        <v>0x00</v>
      </c>
      <c r="L206" s="40" t="str">
        <f t="shared" si="5"/>
        <v>0x01</v>
      </c>
      <c r="M206" s="42">
        <v>2.0</v>
      </c>
      <c r="N206" s="42" t="str">
        <f t="shared" si="157"/>
        <v>0x0F</v>
      </c>
      <c r="O206" s="48" t="str">
        <f t="shared" si="158"/>
        <v>0x53</v>
      </c>
      <c r="P206" s="48" t="str">
        <f t="shared" si="160"/>
        <v>0x53</v>
      </c>
      <c r="Q206" s="48"/>
      <c r="R206" s="42"/>
      <c r="S206" s="48"/>
      <c r="T206" s="48"/>
      <c r="U206" s="48"/>
      <c r="V206" s="40">
        <v>15.0</v>
      </c>
      <c r="W206" s="40" t="str">
        <f t="shared" si="72"/>
        <v>0xF5</v>
      </c>
      <c r="X206" s="40" t="str">
        <f t="shared" ref="X206:AF206" si="161">"0x" &amp; MID($B206,$V206  + 2*(COLUMN() - COLUMN($W206)), 2)</f>
        <v>0xA0</v>
      </c>
      <c r="Y206" s="40" t="str">
        <f t="shared" si="161"/>
        <v>0xD0</v>
      </c>
      <c r="Z206" s="40" t="str">
        <f t="shared" si="161"/>
        <v>0x37</v>
      </c>
      <c r="AA206" s="40" t="str">
        <f t="shared" si="161"/>
        <v>0xF2</v>
      </c>
      <c r="AB206" s="40" t="str">
        <f t="shared" si="161"/>
        <v>0xD2</v>
      </c>
      <c r="AC206" s="40" t="str">
        <f t="shared" si="161"/>
        <v>0x41</v>
      </c>
      <c r="AD206" s="40" t="str">
        <f t="shared" si="161"/>
        <v>0xC6</v>
      </c>
      <c r="AE206" s="40" t="str">
        <f t="shared" si="161"/>
        <v>0x05</v>
      </c>
      <c r="AF206" s="40" t="str">
        <f t="shared" si="161"/>
        <v>0x00</v>
      </c>
      <c r="AG206" s="40"/>
      <c r="AH206" s="40"/>
      <c r="AI206" s="40"/>
      <c r="AJ206" s="40"/>
      <c r="AK206" s="40"/>
      <c r="AL206" s="40"/>
      <c r="AM206" s="40"/>
      <c r="AN206" s="75" t="str">
        <f t="shared" ref="AN206:AN210" si="163">"0x"&amp;MID($B206,35,2)</f>
        <v>0xB0</v>
      </c>
    </row>
    <row r="207" hidden="1">
      <c r="A207" s="51" t="str">
        <f t="shared" si="2"/>
        <v>E910</v>
      </c>
      <c r="B207" s="52" t="str">
        <f>IFERROR(__xludf.DUMMYFUNCTION("REGEXREPLACE($H207, ""(?i)^8301(E000|E100|E200|E300)?"", """")"),"E91000010F5C55F4A0D037F2D241C60500B9")</f>
        <v>E91000010F5C55F4A0D037F2D241C60500B9</v>
      </c>
      <c r="C207" s="65" t="s">
        <v>30</v>
      </c>
      <c r="D207" s="65" t="s">
        <v>528</v>
      </c>
      <c r="E207" s="65" t="s">
        <v>129</v>
      </c>
      <c r="F207" s="65" t="s">
        <v>137</v>
      </c>
      <c r="G207" s="67">
        <v>46207.0</v>
      </c>
      <c r="H207" s="56" t="s">
        <v>333</v>
      </c>
      <c r="I207" s="65"/>
      <c r="J207" s="57" t="str">
        <f t="shared" si="3"/>
        <v>0x10</v>
      </c>
      <c r="K207" s="58" t="str">
        <f t="shared" si="4"/>
        <v>0x00</v>
      </c>
      <c r="L207" s="58" t="str">
        <f t="shared" si="5"/>
        <v>0x01</v>
      </c>
      <c r="M207" s="59">
        <v>2.0</v>
      </c>
      <c r="N207" s="59" t="str">
        <f t="shared" si="157"/>
        <v>0x0F</v>
      </c>
      <c r="O207" s="71" t="str">
        <f t="shared" si="158"/>
        <v>0x5C</v>
      </c>
      <c r="P207" s="71" t="str">
        <f t="shared" si="160"/>
        <v>0x55</v>
      </c>
      <c r="Q207" s="71"/>
      <c r="R207" s="59"/>
      <c r="S207" s="71"/>
      <c r="T207" s="71"/>
      <c r="U207" s="71"/>
      <c r="V207" s="58">
        <v>15.0</v>
      </c>
      <c r="W207" s="58" t="str">
        <f t="shared" si="72"/>
        <v>0xF4</v>
      </c>
      <c r="X207" s="58" t="str">
        <f t="shared" ref="X207:AF207" si="162">"0x" &amp; MID($B207,$V207  + 2*(COLUMN() - COLUMN($W207)), 2)</f>
        <v>0xA0</v>
      </c>
      <c r="Y207" s="58" t="str">
        <f t="shared" si="162"/>
        <v>0xD0</v>
      </c>
      <c r="Z207" s="58" t="str">
        <f t="shared" si="162"/>
        <v>0x37</v>
      </c>
      <c r="AA207" s="58" t="str">
        <f t="shared" si="162"/>
        <v>0xF2</v>
      </c>
      <c r="AB207" s="58" t="str">
        <f t="shared" si="162"/>
        <v>0xD2</v>
      </c>
      <c r="AC207" s="58" t="str">
        <f t="shared" si="162"/>
        <v>0x41</v>
      </c>
      <c r="AD207" s="58" t="str">
        <f t="shared" si="162"/>
        <v>0xC6</v>
      </c>
      <c r="AE207" s="58" t="str">
        <f t="shared" si="162"/>
        <v>0x05</v>
      </c>
      <c r="AF207" s="58" t="str">
        <f t="shared" si="162"/>
        <v>0x00</v>
      </c>
      <c r="AG207" s="58"/>
      <c r="AH207" s="58"/>
      <c r="AI207" s="58"/>
      <c r="AJ207" s="58"/>
      <c r="AK207" s="58"/>
      <c r="AL207" s="58"/>
      <c r="AM207" s="58"/>
      <c r="AN207" s="88" t="str">
        <f t="shared" si="163"/>
        <v>0xB9</v>
      </c>
    </row>
    <row r="208">
      <c r="A208" s="33" t="str">
        <f t="shared" si="2"/>
        <v>E910</v>
      </c>
      <c r="B208" s="34" t="str">
        <f>IFERROR(__xludf.DUMMYFUNCTION("REGEXREPLACE($H208, ""(?i)^8301(E000|E100|E200|E300)?"", """")"),"E91000034896D00E84D146060330D04E07B0")</f>
        <v>E91000034896D00E84D146060330D04E07B0</v>
      </c>
      <c r="C208" s="36" t="s">
        <v>60</v>
      </c>
      <c r="D208" s="36" t="s">
        <v>397</v>
      </c>
      <c r="E208" s="36" t="s">
        <v>217</v>
      </c>
      <c r="F208" s="36" t="s">
        <v>218</v>
      </c>
      <c r="G208" s="37">
        <v>46244.0</v>
      </c>
      <c r="H208" s="38" t="s">
        <v>399</v>
      </c>
      <c r="I208" s="36" t="s">
        <v>153</v>
      </c>
      <c r="J208" s="39" t="str">
        <f t="shared" si="3"/>
        <v>0x10</v>
      </c>
      <c r="K208" s="40" t="str">
        <f t="shared" si="4"/>
        <v>0x00</v>
      </c>
      <c r="L208" s="40" t="str">
        <f t="shared" si="5"/>
        <v>0x03</v>
      </c>
      <c r="M208" s="42"/>
      <c r="N208" s="42"/>
      <c r="O208" s="48"/>
      <c r="P208" s="48"/>
      <c r="Q208" s="48"/>
      <c r="R208" s="42"/>
      <c r="S208" s="48"/>
      <c r="T208" s="48"/>
      <c r="U208" s="48"/>
      <c r="V208" s="40">
        <v>9.0</v>
      </c>
      <c r="W208" s="40" t="str">
        <f t="shared" si="72"/>
        <v>0x48</v>
      </c>
      <c r="X208" s="40" t="str">
        <f t="shared" ref="X208:AI208" si="164">"0x" &amp; MID($B208,$V208  + 2*(COLUMN() - COLUMN($W208)), 2)</f>
        <v>0x96</v>
      </c>
      <c r="Y208" s="40" t="str">
        <f t="shared" si="164"/>
        <v>0xD0</v>
      </c>
      <c r="Z208" s="40" t="str">
        <f t="shared" si="164"/>
        <v>0x0E</v>
      </c>
      <c r="AA208" s="40" t="str">
        <f t="shared" si="164"/>
        <v>0x84</v>
      </c>
      <c r="AB208" s="40" t="str">
        <f t="shared" si="164"/>
        <v>0xD1</v>
      </c>
      <c r="AC208" s="40" t="str">
        <f t="shared" si="164"/>
        <v>0x46</v>
      </c>
      <c r="AD208" s="40" t="str">
        <f t="shared" si="164"/>
        <v>0x06</v>
      </c>
      <c r="AE208" s="40" t="str">
        <f t="shared" si="164"/>
        <v>0x03</v>
      </c>
      <c r="AF208" s="40" t="str">
        <f t="shared" si="164"/>
        <v>0x30</v>
      </c>
      <c r="AG208" s="40" t="str">
        <f t="shared" si="164"/>
        <v>0xD0</v>
      </c>
      <c r="AH208" s="40" t="str">
        <f t="shared" si="164"/>
        <v>0x4E</v>
      </c>
      <c r="AI208" s="40" t="str">
        <f t="shared" si="164"/>
        <v>0x07</v>
      </c>
      <c r="AJ208" s="40"/>
      <c r="AK208" s="40"/>
      <c r="AL208" s="40"/>
      <c r="AM208" s="40"/>
      <c r="AN208" s="75" t="str">
        <f t="shared" si="163"/>
        <v>0xB0</v>
      </c>
    </row>
    <row r="209" hidden="1">
      <c r="A209" s="51" t="str">
        <f t="shared" si="2"/>
        <v>E910</v>
      </c>
      <c r="B209" s="52" t="str">
        <f>IFERROR(__xludf.DUMMYFUNCTION("REGEXREPLACE($H209, ""(?i)^8301(E000|E100|E200|E300)?"", """")"),"E91000060F5555F1A0D037F2D241C60300B0")</f>
        <v>E91000060F5555F1A0D037F2D241C60300B0</v>
      </c>
      <c r="C209" s="65" t="s">
        <v>30</v>
      </c>
      <c r="D209" s="65" t="s">
        <v>527</v>
      </c>
      <c r="E209" s="65" t="s">
        <v>129</v>
      </c>
      <c r="F209" s="89" t="s">
        <v>137</v>
      </c>
      <c r="G209" s="67">
        <v>46240.0</v>
      </c>
      <c r="H209" s="56" t="s">
        <v>351</v>
      </c>
      <c r="I209" s="65"/>
      <c r="J209" s="57" t="str">
        <f t="shared" si="3"/>
        <v>0x10</v>
      </c>
      <c r="K209" s="58" t="str">
        <f t="shared" si="4"/>
        <v>0x00</v>
      </c>
      <c r="L209" s="58" t="str">
        <f t="shared" si="5"/>
        <v>0x06</v>
      </c>
      <c r="M209" s="59">
        <v>2.0</v>
      </c>
      <c r="N209" s="59" t="str">
        <f t="shared" ref="N209:N222" si="166">"0x"&amp;MID($B209,9,2)</f>
        <v>0x0F</v>
      </c>
      <c r="O209" s="71" t="str">
        <f t="shared" ref="O209:O222" si="167">"0x"&amp;MID($B209,11,2)</f>
        <v>0x55</v>
      </c>
      <c r="P209" s="71" t="str">
        <f t="shared" ref="P209:P222" si="168">"0x"&amp;MID($B209,13,2)</f>
        <v>0x55</v>
      </c>
      <c r="Q209" s="71"/>
      <c r="R209" s="59"/>
      <c r="S209" s="71"/>
      <c r="T209" s="71"/>
      <c r="U209" s="71"/>
      <c r="V209" s="58">
        <v>15.0</v>
      </c>
      <c r="W209" s="58" t="str">
        <f t="shared" si="72"/>
        <v>0xF1</v>
      </c>
      <c r="X209" s="58" t="str">
        <f t="shared" ref="X209:AF209" si="165">"0x" &amp; MID($B209,$V209  + 2*(COLUMN() - COLUMN($W209)), 2)</f>
        <v>0xA0</v>
      </c>
      <c r="Y209" s="58" t="str">
        <f t="shared" si="165"/>
        <v>0xD0</v>
      </c>
      <c r="Z209" s="58" t="str">
        <f t="shared" si="165"/>
        <v>0x37</v>
      </c>
      <c r="AA209" s="58" t="str">
        <f t="shared" si="165"/>
        <v>0xF2</v>
      </c>
      <c r="AB209" s="58" t="str">
        <f t="shared" si="165"/>
        <v>0xD2</v>
      </c>
      <c r="AC209" s="58" t="str">
        <f t="shared" si="165"/>
        <v>0x41</v>
      </c>
      <c r="AD209" s="58" t="str">
        <f t="shared" si="165"/>
        <v>0xC6</v>
      </c>
      <c r="AE209" s="58" t="str">
        <f t="shared" si="165"/>
        <v>0x03</v>
      </c>
      <c r="AF209" s="58" t="str">
        <f t="shared" si="165"/>
        <v>0x00</v>
      </c>
      <c r="AG209" s="58"/>
      <c r="AH209" s="58"/>
      <c r="AI209" s="58"/>
      <c r="AJ209" s="58"/>
      <c r="AK209" s="58"/>
      <c r="AL209" s="58"/>
      <c r="AM209" s="58"/>
      <c r="AN209" s="88" t="str">
        <f t="shared" si="163"/>
        <v>0xB0</v>
      </c>
    </row>
    <row r="210" hidden="1">
      <c r="A210" s="33" t="str">
        <f t="shared" si="2"/>
        <v>E910</v>
      </c>
      <c r="B210" s="34" t="str">
        <f>IFERROR(__xludf.DUMMYFUNCTION("REGEXREPLACE($H210, ""(?i)^8301(E000|E100|E200|E300)?"", """")"),"E91000080F5555F1A0D037F2D241C60300B0")</f>
        <v>E91000080F5555F1A0D037F2D241C60300B0</v>
      </c>
      <c r="C210" s="36" t="s">
        <v>30</v>
      </c>
      <c r="D210" s="36" t="s">
        <v>527</v>
      </c>
      <c r="E210" s="36" t="s">
        <v>129</v>
      </c>
      <c r="F210" s="69" t="s">
        <v>137</v>
      </c>
      <c r="G210" s="37">
        <v>46240.0</v>
      </c>
      <c r="H210" s="44" t="s">
        <v>352</v>
      </c>
      <c r="I210" s="36"/>
      <c r="J210" s="39" t="str">
        <f t="shared" si="3"/>
        <v>0x10</v>
      </c>
      <c r="K210" s="40" t="str">
        <f t="shared" si="4"/>
        <v>0x00</v>
      </c>
      <c r="L210" s="40" t="str">
        <f t="shared" si="5"/>
        <v>0x08</v>
      </c>
      <c r="M210" s="42">
        <v>2.0</v>
      </c>
      <c r="N210" s="42" t="str">
        <f t="shared" si="166"/>
        <v>0x0F</v>
      </c>
      <c r="O210" s="48" t="str">
        <f t="shared" si="167"/>
        <v>0x55</v>
      </c>
      <c r="P210" s="48" t="str">
        <f t="shared" si="168"/>
        <v>0x55</v>
      </c>
      <c r="Q210" s="48"/>
      <c r="R210" s="42"/>
      <c r="S210" s="48"/>
      <c r="T210" s="48"/>
      <c r="U210" s="48"/>
      <c r="V210" s="40">
        <v>15.0</v>
      </c>
      <c r="W210" s="40" t="str">
        <f t="shared" si="72"/>
        <v>0xF1</v>
      </c>
      <c r="X210" s="40" t="str">
        <f t="shared" ref="X210:AF210" si="169">"0x" &amp; MID($B210,$V210  + 2*(COLUMN() - COLUMN($W210)), 2)</f>
        <v>0xA0</v>
      </c>
      <c r="Y210" s="40" t="str">
        <f t="shared" si="169"/>
        <v>0xD0</v>
      </c>
      <c r="Z210" s="40" t="str">
        <f t="shared" si="169"/>
        <v>0x37</v>
      </c>
      <c r="AA210" s="40" t="str">
        <f t="shared" si="169"/>
        <v>0xF2</v>
      </c>
      <c r="AB210" s="40" t="str">
        <f t="shared" si="169"/>
        <v>0xD2</v>
      </c>
      <c r="AC210" s="40" t="str">
        <f t="shared" si="169"/>
        <v>0x41</v>
      </c>
      <c r="AD210" s="40" t="str">
        <f t="shared" si="169"/>
        <v>0xC6</v>
      </c>
      <c r="AE210" s="40" t="str">
        <f t="shared" si="169"/>
        <v>0x03</v>
      </c>
      <c r="AF210" s="40" t="str">
        <f t="shared" si="169"/>
        <v>0x00</v>
      </c>
      <c r="AG210" s="40"/>
      <c r="AH210" s="40"/>
      <c r="AI210" s="40"/>
      <c r="AJ210" s="40"/>
      <c r="AK210" s="40"/>
      <c r="AL210" s="40"/>
      <c r="AM210" s="40"/>
      <c r="AN210" s="75" t="str">
        <f t="shared" si="163"/>
        <v>0xB0</v>
      </c>
    </row>
    <row r="211" hidden="1">
      <c r="A211" s="51" t="str">
        <f t="shared" si="2"/>
        <v>E910</v>
      </c>
      <c r="B211" s="52" t="str">
        <f>IFERROR(__xludf.DUMMYFUNCTION("REGEXREPLACE($H211, ""(?i)^8301(E000|E100|E200|E300)?"", """")"),"E910000F0F515558F44882D1460214D06505")</f>
        <v>E910000F0F515558F44882D1460214D06505</v>
      </c>
      <c r="C211" s="65" t="s">
        <v>484</v>
      </c>
      <c r="D211" s="65" t="s">
        <v>485</v>
      </c>
      <c r="E211" s="65" t="s">
        <v>106</v>
      </c>
      <c r="F211" s="65" t="s">
        <v>107</v>
      </c>
      <c r="G211" s="67">
        <v>46220.0</v>
      </c>
      <c r="H211" s="68" t="s">
        <v>334</v>
      </c>
      <c r="I211" s="65"/>
      <c r="J211" s="57" t="str">
        <f t="shared" si="3"/>
        <v>0x10</v>
      </c>
      <c r="K211" s="58" t="str">
        <f t="shared" si="4"/>
        <v>0x00</v>
      </c>
      <c r="L211" s="58" t="str">
        <f t="shared" si="5"/>
        <v>0x0F</v>
      </c>
      <c r="M211" s="59">
        <v>2.0</v>
      </c>
      <c r="N211" s="59" t="str">
        <f t="shared" si="166"/>
        <v>0x0F</v>
      </c>
      <c r="O211" s="71" t="str">
        <f t="shared" si="167"/>
        <v>0x51</v>
      </c>
      <c r="P211" s="71" t="str">
        <f t="shared" si="168"/>
        <v>0x55</v>
      </c>
      <c r="Q211" s="71"/>
      <c r="R211" s="59"/>
      <c r="S211" s="71"/>
      <c r="T211" s="71"/>
      <c r="U211" s="71"/>
      <c r="V211" s="58">
        <v>15.0</v>
      </c>
      <c r="W211" s="58" t="str">
        <f t="shared" si="72"/>
        <v>0x58</v>
      </c>
      <c r="X211" s="58" t="str">
        <f t="shared" ref="X211:AG211" si="170">"0x" &amp; MID($B211,$V211  + 2*(COLUMN() - COLUMN($W211)), 2)</f>
        <v>0xF4</v>
      </c>
      <c r="Y211" s="58" t="str">
        <f t="shared" si="170"/>
        <v>0x48</v>
      </c>
      <c r="Z211" s="58" t="str">
        <f t="shared" si="170"/>
        <v>0x82</v>
      </c>
      <c r="AA211" s="58" t="str">
        <f t="shared" si="170"/>
        <v>0xD1</v>
      </c>
      <c r="AB211" s="58" t="str">
        <f t="shared" si="170"/>
        <v>0x46</v>
      </c>
      <c r="AC211" s="58" t="str">
        <f t="shared" si="170"/>
        <v>0x02</v>
      </c>
      <c r="AD211" s="58" t="str">
        <f t="shared" si="170"/>
        <v>0x14</v>
      </c>
      <c r="AE211" s="58" t="str">
        <f t="shared" si="170"/>
        <v>0xD0</v>
      </c>
      <c r="AF211" s="58" t="str">
        <f t="shared" si="170"/>
        <v>0x65</v>
      </c>
      <c r="AG211" s="58" t="str">
        <f t="shared" si="170"/>
        <v>0x05</v>
      </c>
      <c r="AH211" s="58"/>
      <c r="AI211" s="58"/>
      <c r="AJ211" s="58"/>
      <c r="AK211" s="58"/>
      <c r="AL211" s="58"/>
      <c r="AM211" s="58"/>
      <c r="AN211" s="88"/>
    </row>
    <row r="212" hidden="1">
      <c r="A212" s="33" t="str">
        <f t="shared" si="2"/>
        <v>E910</v>
      </c>
      <c r="B212" s="34" t="str">
        <f>IFERROR(__xludf.DUMMYFUNCTION("REGEXREPLACE($H212, ""(?i)^8301(E000|E100|E200|E300)?"", """")"),"E910000F0F515558F44882D146023ED06505")</f>
        <v>E910000F0F515558F44882D146023ED06505</v>
      </c>
      <c r="C212" s="36" t="s">
        <v>484</v>
      </c>
      <c r="D212" s="36" t="s">
        <v>485</v>
      </c>
      <c r="E212" s="36" t="s">
        <v>106</v>
      </c>
      <c r="F212" s="36" t="s">
        <v>107</v>
      </c>
      <c r="G212" s="37">
        <v>46220.0</v>
      </c>
      <c r="H212" s="38" t="s">
        <v>335</v>
      </c>
      <c r="I212" s="36"/>
      <c r="J212" s="39" t="str">
        <f t="shared" si="3"/>
        <v>0x10</v>
      </c>
      <c r="K212" s="40" t="str">
        <f t="shared" si="4"/>
        <v>0x00</v>
      </c>
      <c r="L212" s="40" t="str">
        <f t="shared" si="5"/>
        <v>0x0F</v>
      </c>
      <c r="M212" s="42">
        <v>2.0</v>
      </c>
      <c r="N212" s="42" t="str">
        <f t="shared" si="166"/>
        <v>0x0F</v>
      </c>
      <c r="O212" s="48" t="str">
        <f t="shared" si="167"/>
        <v>0x51</v>
      </c>
      <c r="P212" s="48" t="str">
        <f t="shared" si="168"/>
        <v>0x55</v>
      </c>
      <c r="Q212" s="48"/>
      <c r="R212" s="42"/>
      <c r="S212" s="48"/>
      <c r="T212" s="48"/>
      <c r="U212" s="48"/>
      <c r="V212" s="40">
        <v>15.0</v>
      </c>
      <c r="W212" s="40" t="str">
        <f t="shared" si="72"/>
        <v>0x58</v>
      </c>
      <c r="X212" s="40" t="str">
        <f t="shared" ref="X212:AG212" si="171">"0x" &amp; MID($B212,$V212  + 2*(COLUMN() - COLUMN($W212)), 2)</f>
        <v>0xF4</v>
      </c>
      <c r="Y212" s="40" t="str">
        <f t="shared" si="171"/>
        <v>0x48</v>
      </c>
      <c r="Z212" s="40" t="str">
        <f t="shared" si="171"/>
        <v>0x82</v>
      </c>
      <c r="AA212" s="40" t="str">
        <f t="shared" si="171"/>
        <v>0xD1</v>
      </c>
      <c r="AB212" s="40" t="str">
        <f t="shared" si="171"/>
        <v>0x46</v>
      </c>
      <c r="AC212" s="40" t="str">
        <f t="shared" si="171"/>
        <v>0x02</v>
      </c>
      <c r="AD212" s="40" t="str">
        <f t="shared" si="171"/>
        <v>0x3E</v>
      </c>
      <c r="AE212" s="40" t="str">
        <f t="shared" si="171"/>
        <v>0xD0</v>
      </c>
      <c r="AF212" s="40" t="str">
        <f t="shared" si="171"/>
        <v>0x65</v>
      </c>
      <c r="AG212" s="40" t="str">
        <f t="shared" si="171"/>
        <v>0x05</v>
      </c>
      <c r="AH212" s="40"/>
      <c r="AI212" s="40"/>
      <c r="AJ212" s="40"/>
      <c r="AK212" s="40"/>
      <c r="AL212" s="40"/>
      <c r="AM212" s="40"/>
      <c r="AN212" s="75"/>
    </row>
    <row r="213" hidden="1">
      <c r="A213" s="51" t="str">
        <f t="shared" si="2"/>
        <v>E910</v>
      </c>
      <c r="B213" s="52" t="str">
        <f>IFERROR(__xludf.DUMMYFUNCTION("REGEXREPLACE($H213, ""(?i)^8301(E000|E100|E200|E300)?"", """")"),"E910000F0F535158F44882D1460214D06505")</f>
        <v>E910000F0F535158F44882D1460214D06505</v>
      </c>
      <c r="C213" s="65" t="s">
        <v>25</v>
      </c>
      <c r="D213" s="65" t="s">
        <v>482</v>
      </c>
      <c r="E213" s="65" t="s">
        <v>106</v>
      </c>
      <c r="F213" s="65" t="s">
        <v>107</v>
      </c>
      <c r="G213" s="67">
        <v>46220.0</v>
      </c>
      <c r="H213" s="68" t="s">
        <v>336</v>
      </c>
      <c r="I213" s="65"/>
      <c r="J213" s="57" t="str">
        <f t="shared" si="3"/>
        <v>0x10</v>
      </c>
      <c r="K213" s="58" t="str">
        <f t="shared" si="4"/>
        <v>0x00</v>
      </c>
      <c r="L213" s="58" t="str">
        <f t="shared" si="5"/>
        <v>0x0F</v>
      </c>
      <c r="M213" s="59">
        <v>2.0</v>
      </c>
      <c r="N213" s="59" t="str">
        <f t="shared" si="166"/>
        <v>0x0F</v>
      </c>
      <c r="O213" s="71" t="str">
        <f t="shared" si="167"/>
        <v>0x53</v>
      </c>
      <c r="P213" s="71" t="str">
        <f t="shared" si="168"/>
        <v>0x51</v>
      </c>
      <c r="Q213" s="71"/>
      <c r="R213" s="59"/>
      <c r="S213" s="71"/>
      <c r="T213" s="71"/>
      <c r="U213" s="71"/>
      <c r="V213" s="58">
        <v>15.0</v>
      </c>
      <c r="W213" s="58" t="str">
        <f t="shared" si="72"/>
        <v>0x58</v>
      </c>
      <c r="X213" s="58" t="str">
        <f t="shared" ref="X213:AG213" si="172">"0x" &amp; MID($B213,$V213  + 2*(COLUMN() - COLUMN($W213)), 2)</f>
        <v>0xF4</v>
      </c>
      <c r="Y213" s="58" t="str">
        <f t="shared" si="172"/>
        <v>0x48</v>
      </c>
      <c r="Z213" s="58" t="str">
        <f t="shared" si="172"/>
        <v>0x82</v>
      </c>
      <c r="AA213" s="58" t="str">
        <f t="shared" si="172"/>
        <v>0xD1</v>
      </c>
      <c r="AB213" s="58" t="str">
        <f t="shared" si="172"/>
        <v>0x46</v>
      </c>
      <c r="AC213" s="58" t="str">
        <f t="shared" si="172"/>
        <v>0x02</v>
      </c>
      <c r="AD213" s="58" t="str">
        <f t="shared" si="172"/>
        <v>0x14</v>
      </c>
      <c r="AE213" s="58" t="str">
        <f t="shared" si="172"/>
        <v>0xD0</v>
      </c>
      <c r="AF213" s="58" t="str">
        <f t="shared" si="172"/>
        <v>0x65</v>
      </c>
      <c r="AG213" s="58" t="str">
        <f t="shared" si="172"/>
        <v>0x05</v>
      </c>
      <c r="AH213" s="58"/>
      <c r="AI213" s="58"/>
      <c r="AJ213" s="58"/>
      <c r="AK213" s="58"/>
      <c r="AL213" s="58"/>
      <c r="AM213" s="58"/>
      <c r="AN213" s="88"/>
    </row>
    <row r="214" hidden="1">
      <c r="A214" s="33" t="str">
        <f t="shared" si="2"/>
        <v>E910</v>
      </c>
      <c r="B214" s="34" t="str">
        <f>IFERROR(__xludf.DUMMYFUNCTION("REGEXREPLACE($H214, ""(?i)^8301(E000|E100|E200|E300)?"", """")"),"E910000F0F535158F44882D146023ED06505")</f>
        <v>E910000F0F535158F44882D146023ED06505</v>
      </c>
      <c r="C214" s="36" t="s">
        <v>25</v>
      </c>
      <c r="D214" s="36" t="s">
        <v>482</v>
      </c>
      <c r="E214" s="36" t="s">
        <v>106</v>
      </c>
      <c r="F214" s="36" t="s">
        <v>107</v>
      </c>
      <c r="G214" s="37">
        <v>46220.0</v>
      </c>
      <c r="H214" s="38" t="s">
        <v>337</v>
      </c>
      <c r="I214" s="36"/>
      <c r="J214" s="39" t="str">
        <f t="shared" si="3"/>
        <v>0x10</v>
      </c>
      <c r="K214" s="40" t="str">
        <f t="shared" si="4"/>
        <v>0x00</v>
      </c>
      <c r="L214" s="40" t="str">
        <f t="shared" si="5"/>
        <v>0x0F</v>
      </c>
      <c r="M214" s="42">
        <v>2.0</v>
      </c>
      <c r="N214" s="42" t="str">
        <f t="shared" si="166"/>
        <v>0x0F</v>
      </c>
      <c r="O214" s="48" t="str">
        <f t="shared" si="167"/>
        <v>0x53</v>
      </c>
      <c r="P214" s="48" t="str">
        <f t="shared" si="168"/>
        <v>0x51</v>
      </c>
      <c r="Q214" s="48"/>
      <c r="R214" s="42"/>
      <c r="S214" s="48"/>
      <c r="T214" s="48"/>
      <c r="U214" s="48"/>
      <c r="V214" s="40">
        <v>15.0</v>
      </c>
      <c r="W214" s="40" t="str">
        <f t="shared" si="72"/>
        <v>0x58</v>
      </c>
      <c r="X214" s="40" t="str">
        <f t="shared" ref="X214:AG214" si="173">"0x" &amp; MID($B214,$V214  + 2*(COLUMN() - COLUMN($W214)), 2)</f>
        <v>0xF4</v>
      </c>
      <c r="Y214" s="40" t="str">
        <f t="shared" si="173"/>
        <v>0x48</v>
      </c>
      <c r="Z214" s="40" t="str">
        <f t="shared" si="173"/>
        <v>0x82</v>
      </c>
      <c r="AA214" s="40" t="str">
        <f t="shared" si="173"/>
        <v>0xD1</v>
      </c>
      <c r="AB214" s="40" t="str">
        <f t="shared" si="173"/>
        <v>0x46</v>
      </c>
      <c r="AC214" s="40" t="str">
        <f t="shared" si="173"/>
        <v>0x02</v>
      </c>
      <c r="AD214" s="40" t="str">
        <f t="shared" si="173"/>
        <v>0x3E</v>
      </c>
      <c r="AE214" s="40" t="str">
        <f t="shared" si="173"/>
        <v>0xD0</v>
      </c>
      <c r="AF214" s="40" t="str">
        <f t="shared" si="173"/>
        <v>0x65</v>
      </c>
      <c r="AG214" s="40" t="str">
        <f t="shared" si="173"/>
        <v>0x05</v>
      </c>
      <c r="AH214" s="40"/>
      <c r="AI214" s="40"/>
      <c r="AJ214" s="40"/>
      <c r="AK214" s="40"/>
      <c r="AL214" s="40"/>
      <c r="AM214" s="40"/>
      <c r="AN214" s="75"/>
    </row>
    <row r="215" hidden="1">
      <c r="A215" s="51" t="str">
        <f t="shared" si="2"/>
        <v>E910</v>
      </c>
      <c r="B215" s="52" t="str">
        <f>IFERROR(__xludf.DUMMYFUNCTION("REGEXREPLACE($H215, ""(?i)^8301(E000|E100|E200|E300)?"", """")"),"E910000F0F535558F44882D1460214D06505")</f>
        <v>E910000F0F535558F44882D1460214D06505</v>
      </c>
      <c r="C215" s="65" t="s">
        <v>484</v>
      </c>
      <c r="D215" s="65" t="s">
        <v>485</v>
      </c>
      <c r="E215" s="65" t="s">
        <v>106</v>
      </c>
      <c r="F215" s="65" t="s">
        <v>107</v>
      </c>
      <c r="G215" s="67">
        <v>46220.0</v>
      </c>
      <c r="H215" s="68" t="s">
        <v>338</v>
      </c>
      <c r="I215" s="65"/>
      <c r="J215" s="57" t="str">
        <f t="shared" si="3"/>
        <v>0x10</v>
      </c>
      <c r="K215" s="58" t="str">
        <f t="shared" si="4"/>
        <v>0x00</v>
      </c>
      <c r="L215" s="58" t="str">
        <f t="shared" si="5"/>
        <v>0x0F</v>
      </c>
      <c r="M215" s="59">
        <v>2.0</v>
      </c>
      <c r="N215" s="59" t="str">
        <f t="shared" si="166"/>
        <v>0x0F</v>
      </c>
      <c r="O215" s="71" t="str">
        <f t="shared" si="167"/>
        <v>0x53</v>
      </c>
      <c r="P215" s="71" t="str">
        <f t="shared" si="168"/>
        <v>0x55</v>
      </c>
      <c r="Q215" s="71"/>
      <c r="R215" s="59"/>
      <c r="S215" s="71"/>
      <c r="T215" s="71"/>
      <c r="U215" s="71"/>
      <c r="V215" s="58">
        <v>15.0</v>
      </c>
      <c r="W215" s="58" t="str">
        <f t="shared" si="72"/>
        <v>0x58</v>
      </c>
      <c r="X215" s="58" t="str">
        <f t="shared" ref="X215:AG215" si="174">"0x" &amp; MID($B215,$V215  + 2*(COLUMN() - COLUMN($W215)), 2)</f>
        <v>0xF4</v>
      </c>
      <c r="Y215" s="58" t="str">
        <f t="shared" si="174"/>
        <v>0x48</v>
      </c>
      <c r="Z215" s="58" t="str">
        <f t="shared" si="174"/>
        <v>0x82</v>
      </c>
      <c r="AA215" s="58" t="str">
        <f t="shared" si="174"/>
        <v>0xD1</v>
      </c>
      <c r="AB215" s="58" t="str">
        <f t="shared" si="174"/>
        <v>0x46</v>
      </c>
      <c r="AC215" s="58" t="str">
        <f t="shared" si="174"/>
        <v>0x02</v>
      </c>
      <c r="AD215" s="58" t="str">
        <f t="shared" si="174"/>
        <v>0x14</v>
      </c>
      <c r="AE215" s="58" t="str">
        <f t="shared" si="174"/>
        <v>0xD0</v>
      </c>
      <c r="AF215" s="58" t="str">
        <f t="shared" si="174"/>
        <v>0x65</v>
      </c>
      <c r="AG215" s="58" t="str">
        <f t="shared" si="174"/>
        <v>0x05</v>
      </c>
      <c r="AH215" s="58"/>
      <c r="AI215" s="58"/>
      <c r="AJ215" s="58"/>
      <c r="AK215" s="58"/>
      <c r="AL215" s="58"/>
      <c r="AM215" s="58"/>
      <c r="AN215" s="88"/>
    </row>
    <row r="216" hidden="1">
      <c r="A216" s="33" t="str">
        <f t="shared" si="2"/>
        <v>E910</v>
      </c>
      <c r="B216" s="34" t="str">
        <f>IFERROR(__xludf.DUMMYFUNCTION("REGEXREPLACE($H216, ""(?i)^8301(E000|E100|E200|E300)?"", """")"),"E910000F0F535558F44882D146023ED06505")</f>
        <v>E910000F0F535558F44882D146023ED06505</v>
      </c>
      <c r="C216" s="36" t="s">
        <v>484</v>
      </c>
      <c r="D216" s="36" t="s">
        <v>485</v>
      </c>
      <c r="E216" s="36" t="s">
        <v>106</v>
      </c>
      <c r="F216" s="36" t="s">
        <v>107</v>
      </c>
      <c r="G216" s="37">
        <v>46220.0</v>
      </c>
      <c r="H216" s="38" t="s">
        <v>339</v>
      </c>
      <c r="I216" s="36"/>
      <c r="J216" s="39" t="str">
        <f t="shared" si="3"/>
        <v>0x10</v>
      </c>
      <c r="K216" s="40" t="str">
        <f t="shared" si="4"/>
        <v>0x00</v>
      </c>
      <c r="L216" s="40" t="str">
        <f t="shared" si="5"/>
        <v>0x0F</v>
      </c>
      <c r="M216" s="42">
        <v>2.0</v>
      </c>
      <c r="N216" s="42" t="str">
        <f t="shared" si="166"/>
        <v>0x0F</v>
      </c>
      <c r="O216" s="48" t="str">
        <f t="shared" si="167"/>
        <v>0x53</v>
      </c>
      <c r="P216" s="48" t="str">
        <f t="shared" si="168"/>
        <v>0x55</v>
      </c>
      <c r="Q216" s="48"/>
      <c r="R216" s="42"/>
      <c r="S216" s="48"/>
      <c r="T216" s="48"/>
      <c r="U216" s="48"/>
      <c r="V216" s="40">
        <v>15.0</v>
      </c>
      <c r="W216" s="40" t="str">
        <f t="shared" si="72"/>
        <v>0x58</v>
      </c>
      <c r="X216" s="40" t="str">
        <f t="shared" ref="X216:AG216" si="175">"0x" &amp; MID($B216,$V216  + 2*(COLUMN() - COLUMN($W216)), 2)</f>
        <v>0xF4</v>
      </c>
      <c r="Y216" s="40" t="str">
        <f t="shared" si="175"/>
        <v>0x48</v>
      </c>
      <c r="Z216" s="40" t="str">
        <f t="shared" si="175"/>
        <v>0x82</v>
      </c>
      <c r="AA216" s="40" t="str">
        <f t="shared" si="175"/>
        <v>0xD1</v>
      </c>
      <c r="AB216" s="40" t="str">
        <f t="shared" si="175"/>
        <v>0x46</v>
      </c>
      <c r="AC216" s="40" t="str">
        <f t="shared" si="175"/>
        <v>0x02</v>
      </c>
      <c r="AD216" s="40" t="str">
        <f t="shared" si="175"/>
        <v>0x3E</v>
      </c>
      <c r="AE216" s="40" t="str">
        <f t="shared" si="175"/>
        <v>0xD0</v>
      </c>
      <c r="AF216" s="40" t="str">
        <f t="shared" si="175"/>
        <v>0x65</v>
      </c>
      <c r="AG216" s="40" t="str">
        <f t="shared" si="175"/>
        <v>0x05</v>
      </c>
      <c r="AH216" s="40"/>
      <c r="AI216" s="40"/>
      <c r="AJ216" s="40"/>
      <c r="AK216" s="40"/>
      <c r="AL216" s="40"/>
      <c r="AM216" s="40"/>
      <c r="AN216" s="75"/>
    </row>
    <row r="217" hidden="1">
      <c r="A217" s="51" t="str">
        <f t="shared" si="2"/>
        <v>E910</v>
      </c>
      <c r="B217" s="52" t="str">
        <f>IFERROR(__xludf.DUMMYFUNCTION("REGEXREPLACE($H217, ""(?i)^8301(E000|E100|E200|E300)?"", """")"),"E910000F0F545D58F44882D146090AD06528")</f>
        <v>E910000F0F545D58F44882D146090AD06528</v>
      </c>
      <c r="C217" s="65" t="s">
        <v>25</v>
      </c>
      <c r="D217" s="65" t="s">
        <v>486</v>
      </c>
      <c r="E217" s="65" t="s">
        <v>129</v>
      </c>
      <c r="F217" s="54" t="s">
        <v>130</v>
      </c>
      <c r="G217" s="67">
        <v>46240.0</v>
      </c>
      <c r="H217" s="56" t="s">
        <v>353</v>
      </c>
      <c r="I217" s="65"/>
      <c r="J217" s="57" t="str">
        <f t="shared" si="3"/>
        <v>0x10</v>
      </c>
      <c r="K217" s="58" t="str">
        <f t="shared" si="4"/>
        <v>0x00</v>
      </c>
      <c r="L217" s="58" t="str">
        <f t="shared" si="5"/>
        <v>0x0F</v>
      </c>
      <c r="M217" s="59">
        <v>2.0</v>
      </c>
      <c r="N217" s="59" t="str">
        <f t="shared" si="166"/>
        <v>0x0F</v>
      </c>
      <c r="O217" s="71" t="str">
        <f t="shared" si="167"/>
        <v>0x54</v>
      </c>
      <c r="P217" s="71" t="str">
        <f t="shared" si="168"/>
        <v>0x5D</v>
      </c>
      <c r="Q217" s="71"/>
      <c r="R217" s="59"/>
      <c r="S217" s="71"/>
      <c r="T217" s="71"/>
      <c r="U217" s="71"/>
      <c r="V217" s="58">
        <v>15.0</v>
      </c>
      <c r="W217" s="58" t="str">
        <f t="shared" si="72"/>
        <v>0x58</v>
      </c>
      <c r="X217" s="58" t="str">
        <f t="shared" ref="X217:AG217" si="176">"0x" &amp; MID($B217,$V217  + 2*(COLUMN() - COLUMN($W217)), 2)</f>
        <v>0xF4</v>
      </c>
      <c r="Y217" s="58" t="str">
        <f t="shared" si="176"/>
        <v>0x48</v>
      </c>
      <c r="Z217" s="58" t="str">
        <f t="shared" si="176"/>
        <v>0x82</v>
      </c>
      <c r="AA217" s="58" t="str">
        <f t="shared" si="176"/>
        <v>0xD1</v>
      </c>
      <c r="AB217" s="58" t="str">
        <f t="shared" si="176"/>
        <v>0x46</v>
      </c>
      <c r="AC217" s="58" t="str">
        <f t="shared" si="176"/>
        <v>0x09</v>
      </c>
      <c r="AD217" s="58" t="str">
        <f t="shared" si="176"/>
        <v>0x0A</v>
      </c>
      <c r="AE217" s="58" t="str">
        <f t="shared" si="176"/>
        <v>0xD0</v>
      </c>
      <c r="AF217" s="58" t="str">
        <f t="shared" si="176"/>
        <v>0x65</v>
      </c>
      <c r="AG217" s="58" t="str">
        <f t="shared" si="176"/>
        <v>0x28</v>
      </c>
      <c r="AH217" s="58"/>
      <c r="AI217" s="58"/>
      <c r="AJ217" s="58"/>
      <c r="AK217" s="58"/>
      <c r="AL217" s="58"/>
      <c r="AM217" s="58"/>
      <c r="AN217" s="88"/>
    </row>
    <row r="218" hidden="1">
      <c r="A218" s="33" t="str">
        <f t="shared" si="2"/>
        <v>E910</v>
      </c>
      <c r="B218" s="34" t="str">
        <f>IFERROR(__xludf.DUMMYFUNCTION("REGEXREPLACE($H218, ""(?i)^8301(E000|E100|E200|E300)?"", """")"),"E91000120F4F4FD037F2D2412A06190100B9")</f>
        <v>E91000120F4F4FD037F2D2412A06190100B9</v>
      </c>
      <c r="C218" s="36" t="s">
        <v>25</v>
      </c>
      <c r="D218" s="36" t="s">
        <v>487</v>
      </c>
      <c r="E218" s="36" t="s">
        <v>129</v>
      </c>
      <c r="F218" s="36" t="s">
        <v>137</v>
      </c>
      <c r="G218" s="37">
        <v>46207.0</v>
      </c>
      <c r="H218" s="44" t="s">
        <v>340</v>
      </c>
      <c r="I218" s="36"/>
      <c r="J218" s="39" t="str">
        <f t="shared" si="3"/>
        <v>0x10</v>
      </c>
      <c r="K218" s="40" t="str">
        <f t="shared" si="4"/>
        <v>0x00</v>
      </c>
      <c r="L218" s="40" t="str">
        <f t="shared" si="5"/>
        <v>0x12</v>
      </c>
      <c r="M218" s="42">
        <v>2.0</v>
      </c>
      <c r="N218" s="42" t="str">
        <f t="shared" si="166"/>
        <v>0x0F</v>
      </c>
      <c r="O218" s="48" t="str">
        <f t="shared" si="167"/>
        <v>0x4F</v>
      </c>
      <c r="P218" s="48" t="str">
        <f t="shared" si="168"/>
        <v>0x4F</v>
      </c>
      <c r="Q218" s="48"/>
      <c r="R218" s="42"/>
      <c r="S218" s="48"/>
      <c r="T218" s="48"/>
      <c r="U218" s="48"/>
      <c r="V218" s="40">
        <v>15.0</v>
      </c>
      <c r="W218" s="40" t="str">
        <f t="shared" si="72"/>
        <v>0xD0</v>
      </c>
      <c r="X218" s="40" t="str">
        <f t="shared" ref="X218:AG218" si="177">"0x" &amp; MID($B218,$V218  + 2*(COLUMN() - COLUMN($W218)), 2)</f>
        <v>0x37</v>
      </c>
      <c r="Y218" s="40" t="str">
        <f t="shared" si="177"/>
        <v>0xF2</v>
      </c>
      <c r="Z218" s="40" t="str">
        <f t="shared" si="177"/>
        <v>0xD2</v>
      </c>
      <c r="AA218" s="40" t="str">
        <f t="shared" si="177"/>
        <v>0x41</v>
      </c>
      <c r="AB218" s="40" t="str">
        <f t="shared" si="177"/>
        <v>0x2A</v>
      </c>
      <c r="AC218" s="40" t="str">
        <f t="shared" si="177"/>
        <v>0x06</v>
      </c>
      <c r="AD218" s="40" t="str">
        <f t="shared" si="177"/>
        <v>0x19</v>
      </c>
      <c r="AE218" s="40" t="str">
        <f t="shared" si="177"/>
        <v>0x01</v>
      </c>
      <c r="AF218" s="40" t="str">
        <f t="shared" si="177"/>
        <v>0x00</v>
      </c>
      <c r="AG218" s="40" t="str">
        <f t="shared" si="177"/>
        <v>0xB9</v>
      </c>
      <c r="AH218" s="40"/>
      <c r="AI218" s="40"/>
      <c r="AJ218" s="40"/>
      <c r="AK218" s="40"/>
      <c r="AL218" s="40"/>
      <c r="AM218" s="40"/>
      <c r="AN218" s="75"/>
    </row>
    <row r="219" hidden="1">
      <c r="A219" s="51" t="str">
        <f t="shared" si="2"/>
        <v>E910</v>
      </c>
      <c r="B219" s="52" t="str">
        <f>IFERROR(__xludf.DUMMYFUNCTION("REGEXREPLACE($H219, ""(?i)^8301(E000|E100|E200|E300)?"", """")"),"E91000140F4F4FD037F2D2412A06190100B9")</f>
        <v>E91000140F4F4FD037F2D2412A06190100B9</v>
      </c>
      <c r="C219" s="65" t="s">
        <v>25</v>
      </c>
      <c r="D219" s="65" t="s">
        <v>487</v>
      </c>
      <c r="E219" s="65" t="s">
        <v>129</v>
      </c>
      <c r="F219" s="65" t="s">
        <v>137</v>
      </c>
      <c r="G219" s="67">
        <v>46207.0</v>
      </c>
      <c r="H219" s="56" t="s">
        <v>343</v>
      </c>
      <c r="I219" s="65"/>
      <c r="J219" s="57" t="str">
        <f t="shared" si="3"/>
        <v>0x10</v>
      </c>
      <c r="K219" s="58" t="str">
        <f t="shared" si="4"/>
        <v>0x00</v>
      </c>
      <c r="L219" s="58" t="str">
        <f t="shared" si="5"/>
        <v>0x14</v>
      </c>
      <c r="M219" s="59">
        <v>2.0</v>
      </c>
      <c r="N219" s="59" t="str">
        <f t="shared" si="166"/>
        <v>0x0F</v>
      </c>
      <c r="O219" s="71" t="str">
        <f t="shared" si="167"/>
        <v>0x4F</v>
      </c>
      <c r="P219" s="71" t="str">
        <f t="shared" si="168"/>
        <v>0x4F</v>
      </c>
      <c r="Q219" s="71"/>
      <c r="R219" s="59"/>
      <c r="S219" s="71"/>
      <c r="T219" s="71"/>
      <c r="U219" s="71"/>
      <c r="V219" s="58">
        <v>15.0</v>
      </c>
      <c r="W219" s="58" t="str">
        <f t="shared" si="72"/>
        <v>0xD0</v>
      </c>
      <c r="X219" s="58" t="str">
        <f t="shared" ref="X219:AG219" si="178">"0x" &amp; MID($B219,$V219  + 2*(COLUMN() - COLUMN($W219)), 2)</f>
        <v>0x37</v>
      </c>
      <c r="Y219" s="58" t="str">
        <f t="shared" si="178"/>
        <v>0xF2</v>
      </c>
      <c r="Z219" s="58" t="str">
        <f t="shared" si="178"/>
        <v>0xD2</v>
      </c>
      <c r="AA219" s="58" t="str">
        <f t="shared" si="178"/>
        <v>0x41</v>
      </c>
      <c r="AB219" s="58" t="str">
        <f t="shared" si="178"/>
        <v>0x2A</v>
      </c>
      <c r="AC219" s="58" t="str">
        <f t="shared" si="178"/>
        <v>0x06</v>
      </c>
      <c r="AD219" s="58" t="str">
        <f t="shared" si="178"/>
        <v>0x19</v>
      </c>
      <c r="AE219" s="58" t="str">
        <f t="shared" si="178"/>
        <v>0x01</v>
      </c>
      <c r="AF219" s="58" t="str">
        <f t="shared" si="178"/>
        <v>0x00</v>
      </c>
      <c r="AG219" s="58" t="str">
        <f t="shared" si="178"/>
        <v>0xB9</v>
      </c>
      <c r="AH219" s="58"/>
      <c r="AI219" s="58"/>
      <c r="AJ219" s="58"/>
      <c r="AK219" s="58"/>
      <c r="AL219" s="58"/>
      <c r="AM219" s="58"/>
      <c r="AN219" s="88"/>
    </row>
    <row r="220" hidden="1">
      <c r="A220" s="33" t="str">
        <f t="shared" si="2"/>
        <v>E910</v>
      </c>
      <c r="B220" s="34" t="str">
        <f>IFERROR(__xludf.DUMMYFUNCTION("REGEXREPLACE($H220, ""(?i)^8301(E000|E100|E200|E300)?"", """")"),"E910002A0F5D4058F44882D1460601D06543")</f>
        <v>E910002A0F5D4058F44882D1460601D06543</v>
      </c>
      <c r="C220" s="36" t="s">
        <v>25</v>
      </c>
      <c r="D220" s="36" t="s">
        <v>489</v>
      </c>
      <c r="E220" s="36" t="s">
        <v>106</v>
      </c>
      <c r="F220" s="36" t="s">
        <v>107</v>
      </c>
      <c r="G220" s="37">
        <v>46220.0</v>
      </c>
      <c r="H220" s="38" t="s">
        <v>344</v>
      </c>
      <c r="I220" s="36"/>
      <c r="J220" s="39" t="str">
        <f t="shared" si="3"/>
        <v>0x10</v>
      </c>
      <c r="K220" s="40" t="str">
        <f t="shared" si="4"/>
        <v>0x00</v>
      </c>
      <c r="L220" s="40" t="str">
        <f t="shared" si="5"/>
        <v>0x2A</v>
      </c>
      <c r="M220" s="42">
        <v>2.0</v>
      </c>
      <c r="N220" s="42" t="str">
        <f t="shared" si="166"/>
        <v>0x0F</v>
      </c>
      <c r="O220" s="48" t="str">
        <f t="shared" si="167"/>
        <v>0x5D</v>
      </c>
      <c r="P220" s="48" t="str">
        <f t="shared" si="168"/>
        <v>0x40</v>
      </c>
      <c r="Q220" s="48"/>
      <c r="R220" s="42"/>
      <c r="S220" s="48"/>
      <c r="T220" s="48"/>
      <c r="U220" s="48"/>
      <c r="V220" s="40">
        <v>15.0</v>
      </c>
      <c r="W220" s="40" t="str">
        <f t="shared" si="72"/>
        <v>0x58</v>
      </c>
      <c r="X220" s="40" t="str">
        <f t="shared" ref="X220:AG220" si="179">"0x" &amp; MID($B220,$V220  + 2*(COLUMN() - COLUMN($W220)), 2)</f>
        <v>0xF4</v>
      </c>
      <c r="Y220" s="40" t="str">
        <f t="shared" si="179"/>
        <v>0x48</v>
      </c>
      <c r="Z220" s="40" t="str">
        <f t="shared" si="179"/>
        <v>0x82</v>
      </c>
      <c r="AA220" s="40" t="str">
        <f t="shared" si="179"/>
        <v>0xD1</v>
      </c>
      <c r="AB220" s="40" t="str">
        <f t="shared" si="179"/>
        <v>0x46</v>
      </c>
      <c r="AC220" s="40" t="str">
        <f t="shared" si="179"/>
        <v>0x06</v>
      </c>
      <c r="AD220" s="40" t="str">
        <f t="shared" si="179"/>
        <v>0x01</v>
      </c>
      <c r="AE220" s="40" t="str">
        <f t="shared" si="179"/>
        <v>0xD0</v>
      </c>
      <c r="AF220" s="40" t="str">
        <f t="shared" si="179"/>
        <v>0x65</v>
      </c>
      <c r="AG220" s="40" t="str">
        <f t="shared" si="179"/>
        <v>0x43</v>
      </c>
      <c r="AH220" s="40"/>
      <c r="AI220" s="40"/>
      <c r="AJ220" s="40"/>
      <c r="AK220" s="40"/>
      <c r="AL220" s="40"/>
      <c r="AM220" s="40"/>
      <c r="AN220" s="75"/>
    </row>
    <row r="221" hidden="1">
      <c r="A221" s="51" t="str">
        <f t="shared" si="2"/>
        <v>E910</v>
      </c>
      <c r="B221" s="52" t="str">
        <f>IFERROR(__xludf.DUMMYFUNCTION("REGEXREPLACE($H221, ""(?i)^8301(E000|E100|E200|E300)?"", """")"),"E910002A0F5D4058F44882D1460602D06543")</f>
        <v>E910002A0F5D4058F44882D1460602D06543</v>
      </c>
      <c r="C221" s="65" t="s">
        <v>25</v>
      </c>
      <c r="D221" s="65" t="s">
        <v>489</v>
      </c>
      <c r="E221" s="65" t="s">
        <v>106</v>
      </c>
      <c r="F221" s="65" t="s">
        <v>107</v>
      </c>
      <c r="G221" s="67">
        <v>46220.0</v>
      </c>
      <c r="H221" s="68" t="s">
        <v>345</v>
      </c>
      <c r="I221" s="65"/>
      <c r="J221" s="57" t="str">
        <f t="shared" si="3"/>
        <v>0x10</v>
      </c>
      <c r="K221" s="58" t="str">
        <f t="shared" si="4"/>
        <v>0x00</v>
      </c>
      <c r="L221" s="58" t="str">
        <f t="shared" si="5"/>
        <v>0x2A</v>
      </c>
      <c r="M221" s="59">
        <v>2.0</v>
      </c>
      <c r="N221" s="59" t="str">
        <f t="shared" si="166"/>
        <v>0x0F</v>
      </c>
      <c r="O221" s="71" t="str">
        <f t="shared" si="167"/>
        <v>0x5D</v>
      </c>
      <c r="P221" s="71" t="str">
        <f t="shared" si="168"/>
        <v>0x40</v>
      </c>
      <c r="Q221" s="71"/>
      <c r="R221" s="59"/>
      <c r="S221" s="71"/>
      <c r="T221" s="71"/>
      <c r="U221" s="71"/>
      <c r="V221" s="58">
        <v>15.0</v>
      </c>
      <c r="W221" s="58" t="str">
        <f t="shared" si="72"/>
        <v>0x58</v>
      </c>
      <c r="X221" s="58" t="str">
        <f t="shared" ref="X221:AG221" si="180">"0x" &amp; MID($B221,$V221  + 2*(COLUMN() - COLUMN($W221)), 2)</f>
        <v>0xF4</v>
      </c>
      <c r="Y221" s="58" t="str">
        <f t="shared" si="180"/>
        <v>0x48</v>
      </c>
      <c r="Z221" s="58" t="str">
        <f t="shared" si="180"/>
        <v>0x82</v>
      </c>
      <c r="AA221" s="58" t="str">
        <f t="shared" si="180"/>
        <v>0xD1</v>
      </c>
      <c r="AB221" s="58" t="str">
        <f t="shared" si="180"/>
        <v>0x46</v>
      </c>
      <c r="AC221" s="58" t="str">
        <f t="shared" si="180"/>
        <v>0x06</v>
      </c>
      <c r="AD221" s="58" t="str">
        <f t="shared" si="180"/>
        <v>0x02</v>
      </c>
      <c r="AE221" s="58" t="str">
        <f t="shared" si="180"/>
        <v>0xD0</v>
      </c>
      <c r="AF221" s="58" t="str">
        <f t="shared" si="180"/>
        <v>0x65</v>
      </c>
      <c r="AG221" s="58" t="str">
        <f t="shared" si="180"/>
        <v>0x43</v>
      </c>
      <c r="AH221" s="58"/>
      <c r="AI221" s="58"/>
      <c r="AJ221" s="58"/>
      <c r="AK221" s="58"/>
      <c r="AL221" s="58"/>
      <c r="AM221" s="58"/>
      <c r="AN221" s="88"/>
    </row>
    <row r="222" hidden="1">
      <c r="A222" s="33" t="str">
        <f t="shared" si="2"/>
        <v>E910</v>
      </c>
      <c r="B222" s="34" t="str">
        <f>IFERROR(__xludf.DUMMYFUNCTION("REGEXREPLACE($H222, ""(?i)^8301(E000|E100|E200|E300)?"", """")"),"E910002A0F5D4058F44882D1460604D06543")</f>
        <v>E910002A0F5D4058F44882D1460604D06543</v>
      </c>
      <c r="C222" s="36" t="s">
        <v>490</v>
      </c>
      <c r="D222" s="36" t="s">
        <v>488</v>
      </c>
      <c r="E222" s="36" t="s">
        <v>106</v>
      </c>
      <c r="F222" s="36" t="s">
        <v>107</v>
      </c>
      <c r="G222" s="37">
        <v>46220.0</v>
      </c>
      <c r="H222" s="38" t="s">
        <v>347</v>
      </c>
      <c r="I222" s="36"/>
      <c r="J222" s="39" t="str">
        <f t="shared" si="3"/>
        <v>0x10</v>
      </c>
      <c r="K222" s="40" t="str">
        <f t="shared" si="4"/>
        <v>0x00</v>
      </c>
      <c r="L222" s="40" t="str">
        <f t="shared" si="5"/>
        <v>0x2A</v>
      </c>
      <c r="M222" s="42">
        <v>2.0</v>
      </c>
      <c r="N222" s="42" t="str">
        <f t="shared" si="166"/>
        <v>0x0F</v>
      </c>
      <c r="O222" s="48" t="str">
        <f t="shared" si="167"/>
        <v>0x5D</v>
      </c>
      <c r="P222" s="48" t="str">
        <f t="shared" si="168"/>
        <v>0x40</v>
      </c>
      <c r="Q222" s="48"/>
      <c r="R222" s="42"/>
      <c r="S222" s="48"/>
      <c r="T222" s="48"/>
      <c r="U222" s="48"/>
      <c r="V222" s="40">
        <v>15.0</v>
      </c>
      <c r="W222" s="40" t="str">
        <f t="shared" si="72"/>
        <v>0x58</v>
      </c>
      <c r="X222" s="40" t="str">
        <f t="shared" ref="X222:AG222" si="181">"0x" &amp; MID($B222,$V222  + 2*(COLUMN() - COLUMN($W222)), 2)</f>
        <v>0xF4</v>
      </c>
      <c r="Y222" s="40" t="str">
        <f t="shared" si="181"/>
        <v>0x48</v>
      </c>
      <c r="Z222" s="40" t="str">
        <f t="shared" si="181"/>
        <v>0x82</v>
      </c>
      <c r="AA222" s="40" t="str">
        <f t="shared" si="181"/>
        <v>0xD1</v>
      </c>
      <c r="AB222" s="40" t="str">
        <f t="shared" si="181"/>
        <v>0x46</v>
      </c>
      <c r="AC222" s="40" t="str">
        <f t="shared" si="181"/>
        <v>0x06</v>
      </c>
      <c r="AD222" s="40" t="str">
        <f t="shared" si="181"/>
        <v>0x04</v>
      </c>
      <c r="AE222" s="40" t="str">
        <f t="shared" si="181"/>
        <v>0xD0</v>
      </c>
      <c r="AF222" s="40" t="str">
        <f t="shared" si="181"/>
        <v>0x65</v>
      </c>
      <c r="AG222" s="40" t="str">
        <f t="shared" si="181"/>
        <v>0x43</v>
      </c>
      <c r="AH222" s="40"/>
      <c r="AI222" s="40"/>
      <c r="AJ222" s="40"/>
      <c r="AK222" s="40"/>
      <c r="AL222" s="40"/>
      <c r="AM222" s="40"/>
      <c r="AN222" s="75"/>
    </row>
    <row r="223" hidden="1">
      <c r="A223" s="51" t="str">
        <f t="shared" si="2"/>
        <v>E910</v>
      </c>
      <c r="B223" s="52" t="str">
        <f>IFERROR(__xludf.DUMMYFUNCTION("REGEXREPLACE($H223, ""(?i)^8301(E000|E100|E200|E300)?"", """")"),"E91000434896D00E97D146063730D04E25B0")</f>
        <v>E91000434896D00E97D146063730D04E25B0</v>
      </c>
      <c r="C223" s="65" t="s">
        <v>60</v>
      </c>
      <c r="D223" s="65" t="s">
        <v>440</v>
      </c>
      <c r="E223" s="65" t="s">
        <v>129</v>
      </c>
      <c r="F223" s="65" t="s">
        <v>137</v>
      </c>
      <c r="G223" s="67">
        <v>46207.0</v>
      </c>
      <c r="H223" s="56" t="s">
        <v>348</v>
      </c>
      <c r="I223" s="65" t="s">
        <v>153</v>
      </c>
      <c r="J223" s="57" t="str">
        <f t="shared" si="3"/>
        <v>0x10</v>
      </c>
      <c r="K223" s="58" t="str">
        <f t="shared" si="4"/>
        <v>0x00</v>
      </c>
      <c r="L223" s="58" t="str">
        <f t="shared" si="5"/>
        <v>0x43</v>
      </c>
      <c r="M223" s="59"/>
      <c r="N223" s="59"/>
      <c r="O223" s="71"/>
      <c r="P223" s="71"/>
      <c r="Q223" s="71"/>
      <c r="R223" s="59"/>
      <c r="S223" s="71"/>
      <c r="T223" s="71"/>
      <c r="U223" s="71"/>
      <c r="V223" s="58">
        <v>9.0</v>
      </c>
      <c r="W223" s="58" t="str">
        <f t="shared" si="72"/>
        <v>0x48</v>
      </c>
      <c r="X223" s="58" t="str">
        <f t="shared" ref="X223:AI223" si="182">"0x" &amp; MID($B223,$V223  + 2*(COLUMN() - COLUMN($W223)), 2)</f>
        <v>0x96</v>
      </c>
      <c r="Y223" s="58" t="str">
        <f t="shared" si="182"/>
        <v>0xD0</v>
      </c>
      <c r="Z223" s="58" t="str">
        <f t="shared" si="182"/>
        <v>0x0E</v>
      </c>
      <c r="AA223" s="58" t="str">
        <f t="shared" si="182"/>
        <v>0x97</v>
      </c>
      <c r="AB223" s="58" t="str">
        <f t="shared" si="182"/>
        <v>0xD1</v>
      </c>
      <c r="AC223" s="58" t="str">
        <f t="shared" si="182"/>
        <v>0x46</v>
      </c>
      <c r="AD223" s="58" t="str">
        <f t="shared" si="182"/>
        <v>0x06</v>
      </c>
      <c r="AE223" s="58" t="str">
        <f t="shared" si="182"/>
        <v>0x37</v>
      </c>
      <c r="AF223" s="58" t="str">
        <f t="shared" si="182"/>
        <v>0x30</v>
      </c>
      <c r="AG223" s="58" t="str">
        <f t="shared" si="182"/>
        <v>0xD0</v>
      </c>
      <c r="AH223" s="58" t="str">
        <f t="shared" si="182"/>
        <v>0x4E</v>
      </c>
      <c r="AI223" s="58" t="str">
        <f t="shared" si="182"/>
        <v>0x25</v>
      </c>
      <c r="AJ223" s="58"/>
      <c r="AK223" s="58"/>
      <c r="AL223" s="58"/>
      <c r="AM223" s="58"/>
      <c r="AN223" s="88" t="str">
        <f t="shared" ref="AN223:AN225" si="184">"0x"&amp;MID($B223,35,2)</f>
        <v>0xB0</v>
      </c>
    </row>
    <row r="224" hidden="1">
      <c r="A224" s="33" t="str">
        <f t="shared" si="2"/>
        <v>E910</v>
      </c>
      <c r="B224" s="34" t="str">
        <f>IFERROR(__xludf.DUMMYFUNCTION("REGEXREPLACE($H224, ""(?i)^8301(E000|E100|E200|E300)?"", """")"),"E910004C4897D00E80D146052030D04E00B0")</f>
        <v>E910004C4897D00E80D146052030D04E00B0</v>
      </c>
      <c r="C224" s="36" t="s">
        <v>60</v>
      </c>
      <c r="D224" s="36" t="s">
        <v>523</v>
      </c>
      <c r="E224" s="36" t="s">
        <v>75</v>
      </c>
      <c r="F224" s="36" t="s">
        <v>143</v>
      </c>
      <c r="G224" s="37">
        <v>46208.0</v>
      </c>
      <c r="H224" s="38" t="s">
        <v>349</v>
      </c>
      <c r="I224" s="36"/>
      <c r="J224" s="92" t="str">
        <f t="shared" si="3"/>
        <v>0x10</v>
      </c>
      <c r="K224" s="47" t="str">
        <f t="shared" si="4"/>
        <v>0x00</v>
      </c>
      <c r="L224" s="47" t="str">
        <f t="shared" si="5"/>
        <v>0x4C</v>
      </c>
      <c r="M224" s="80"/>
      <c r="N224" s="80"/>
      <c r="O224" s="79"/>
      <c r="P224" s="79"/>
      <c r="Q224" s="79"/>
      <c r="R224" s="80"/>
      <c r="S224" s="79"/>
      <c r="T224" s="79"/>
      <c r="U224" s="79"/>
      <c r="V224" s="73">
        <v>9.0</v>
      </c>
      <c r="W224" s="47" t="str">
        <f t="shared" si="72"/>
        <v>0x48</v>
      </c>
      <c r="X224" s="47" t="str">
        <f t="shared" ref="X224:AI224" si="183">"0x" &amp; MID($B224,$V224  + 2*(COLUMN() - COLUMN($W224)), 2)</f>
        <v>0x97</v>
      </c>
      <c r="Y224" s="47" t="str">
        <f t="shared" si="183"/>
        <v>0xD0</v>
      </c>
      <c r="Z224" s="47" t="str">
        <f t="shared" si="183"/>
        <v>0x0E</v>
      </c>
      <c r="AA224" s="47" t="str">
        <f t="shared" si="183"/>
        <v>0x80</v>
      </c>
      <c r="AB224" s="47" t="str">
        <f t="shared" si="183"/>
        <v>0xD1</v>
      </c>
      <c r="AC224" s="47" t="str">
        <f t="shared" si="183"/>
        <v>0x46</v>
      </c>
      <c r="AD224" s="47" t="str">
        <f t="shared" si="183"/>
        <v>0x05</v>
      </c>
      <c r="AE224" s="47" t="str">
        <f t="shared" si="183"/>
        <v>0x20</v>
      </c>
      <c r="AF224" s="47" t="str">
        <f t="shared" si="183"/>
        <v>0x30</v>
      </c>
      <c r="AG224" s="47" t="str">
        <f t="shared" si="183"/>
        <v>0xD0</v>
      </c>
      <c r="AH224" s="47" t="str">
        <f t="shared" si="183"/>
        <v>0x4E</v>
      </c>
      <c r="AI224" s="47" t="str">
        <f t="shared" si="183"/>
        <v>0x00</v>
      </c>
      <c r="AJ224" s="47"/>
      <c r="AK224" s="47"/>
      <c r="AL224" s="47"/>
      <c r="AM224" s="47"/>
      <c r="AN224" s="64" t="str">
        <f t="shared" si="184"/>
        <v>0xB0</v>
      </c>
    </row>
    <row r="225">
      <c r="A225" s="51" t="str">
        <f t="shared" si="2"/>
        <v>E910</v>
      </c>
      <c r="B225" s="52" t="str">
        <f>IFERROR(__xludf.DUMMYFUNCTION("REGEXREPLACE($H225, ""(?i)^8301(E000|E100|E200|E300)?"", """")"),"E91000544897D00E80D146060F30D04E00B0")</f>
        <v>E91000544897D00E80D146060F30D04E00B0</v>
      </c>
      <c r="C225" s="65" t="s">
        <v>60</v>
      </c>
      <c r="D225" s="65" t="s">
        <v>523</v>
      </c>
      <c r="E225" s="65" t="s">
        <v>217</v>
      </c>
      <c r="F225" s="65" t="s">
        <v>218</v>
      </c>
      <c r="G225" s="67">
        <v>46244.0</v>
      </c>
      <c r="H225" s="68" t="s">
        <v>467</v>
      </c>
      <c r="I225" s="65"/>
      <c r="J225" s="57" t="str">
        <f t="shared" si="3"/>
        <v>0x10</v>
      </c>
      <c r="K225" s="58" t="str">
        <f t="shared" si="4"/>
        <v>0x00</v>
      </c>
      <c r="L225" s="58" t="str">
        <f t="shared" si="5"/>
        <v>0x54</v>
      </c>
      <c r="M225" s="59"/>
      <c r="N225" s="59"/>
      <c r="O225" s="60"/>
      <c r="P225" s="60"/>
      <c r="Q225" s="60"/>
      <c r="R225" s="61"/>
      <c r="S225" s="60"/>
      <c r="T225" s="60"/>
      <c r="U225" s="60"/>
      <c r="V225" s="90">
        <v>9.0</v>
      </c>
      <c r="W225" s="58" t="str">
        <f t="shared" si="72"/>
        <v>0x48</v>
      </c>
      <c r="X225" s="58" t="str">
        <f t="shared" ref="X225:AI225" si="185">"0x" &amp; MID($B225,$V225  + 2*(COLUMN() - COLUMN($W225)), 2)</f>
        <v>0x97</v>
      </c>
      <c r="Y225" s="58" t="str">
        <f t="shared" si="185"/>
        <v>0xD0</v>
      </c>
      <c r="Z225" s="58" t="str">
        <f t="shared" si="185"/>
        <v>0x0E</v>
      </c>
      <c r="AA225" s="58" t="str">
        <f t="shared" si="185"/>
        <v>0x80</v>
      </c>
      <c r="AB225" s="58" t="str">
        <f t="shared" si="185"/>
        <v>0xD1</v>
      </c>
      <c r="AC225" s="58" t="str">
        <f t="shared" si="185"/>
        <v>0x46</v>
      </c>
      <c r="AD225" s="58" t="str">
        <f t="shared" si="185"/>
        <v>0x06</v>
      </c>
      <c r="AE225" s="58" t="str">
        <f t="shared" si="185"/>
        <v>0x0F</v>
      </c>
      <c r="AF225" s="58" t="str">
        <f t="shared" si="185"/>
        <v>0x30</v>
      </c>
      <c r="AG225" s="58" t="str">
        <f t="shared" si="185"/>
        <v>0xD0</v>
      </c>
      <c r="AH225" s="58" t="str">
        <f t="shared" si="185"/>
        <v>0x4E</v>
      </c>
      <c r="AI225" s="58" t="str">
        <f t="shared" si="185"/>
        <v>0x00</v>
      </c>
      <c r="AJ225" s="58"/>
      <c r="AK225" s="58"/>
      <c r="AL225" s="58"/>
      <c r="AM225" s="58"/>
      <c r="AN225" s="74" t="str">
        <f t="shared" si="184"/>
        <v>0xB0</v>
      </c>
    </row>
    <row r="226" hidden="1">
      <c r="A226" s="33" t="str">
        <f t="shared" si="2"/>
        <v>E910</v>
      </c>
      <c r="B226" s="34" t="str">
        <f>IFERROR(__xludf.DUMMYFUNCTION("REGEXREPLACE($H226, ""(?i)^8301(E000|E100|E200|E300)?"", """")"),"E91000610F475658F44882D1460908D06519")</f>
        <v>E91000610F475658F44882D1460908D06519</v>
      </c>
      <c r="C226" s="36" t="s">
        <v>14</v>
      </c>
      <c r="D226" s="36" t="s">
        <v>249</v>
      </c>
      <c r="E226" s="36" t="s">
        <v>106</v>
      </c>
      <c r="F226" s="36" t="s">
        <v>107</v>
      </c>
      <c r="G226" s="37">
        <v>46220.0</v>
      </c>
      <c r="H226" s="38" t="s">
        <v>252</v>
      </c>
      <c r="I226" s="36"/>
      <c r="J226" s="39" t="str">
        <f t="shared" si="3"/>
        <v>0x10</v>
      </c>
      <c r="K226" s="40" t="str">
        <f t="shared" si="4"/>
        <v>0x00</v>
      </c>
      <c r="L226" s="40" t="str">
        <f t="shared" si="5"/>
        <v>0x61</v>
      </c>
      <c r="M226" s="42">
        <v>2.0</v>
      </c>
      <c r="N226" s="42" t="str">
        <f>"0x"&amp;MID($B226,9,2)</f>
        <v>0x0F</v>
      </c>
      <c r="O226" s="48" t="str">
        <f>"0x"&amp;MID($B226,11,2)</f>
        <v>0x47</v>
      </c>
      <c r="P226" s="48" t="str">
        <f>"0x"&amp;MID($B226,13,2)</f>
        <v>0x56</v>
      </c>
      <c r="Q226" s="48"/>
      <c r="R226" s="42"/>
      <c r="S226" s="48"/>
      <c r="T226" s="48"/>
      <c r="U226" s="48"/>
      <c r="V226" s="40">
        <v>15.0</v>
      </c>
      <c r="W226" s="40" t="str">
        <f t="shared" si="72"/>
        <v>0x58</v>
      </c>
      <c r="X226" s="40" t="str">
        <f t="shared" ref="X226:AG226" si="186">"0x" &amp; MID($B226,$V226  + 2*(COLUMN() - COLUMN($W226)), 2)</f>
        <v>0xF4</v>
      </c>
      <c r="Y226" s="40" t="str">
        <f t="shared" si="186"/>
        <v>0x48</v>
      </c>
      <c r="Z226" s="40" t="str">
        <f t="shared" si="186"/>
        <v>0x82</v>
      </c>
      <c r="AA226" s="40" t="str">
        <f t="shared" si="186"/>
        <v>0xD1</v>
      </c>
      <c r="AB226" s="40" t="str">
        <f t="shared" si="186"/>
        <v>0x46</v>
      </c>
      <c r="AC226" s="40" t="str">
        <f t="shared" si="186"/>
        <v>0x09</v>
      </c>
      <c r="AD226" s="40" t="str">
        <f t="shared" si="186"/>
        <v>0x08</v>
      </c>
      <c r="AE226" s="40" t="str">
        <f t="shared" si="186"/>
        <v>0xD0</v>
      </c>
      <c r="AF226" s="40" t="str">
        <f t="shared" si="186"/>
        <v>0x65</v>
      </c>
      <c r="AG226" s="40" t="str">
        <f t="shared" si="186"/>
        <v>0x19</v>
      </c>
      <c r="AH226" s="40"/>
      <c r="AI226" s="40"/>
      <c r="AJ226" s="40"/>
      <c r="AK226" s="40"/>
      <c r="AL226" s="40"/>
      <c r="AM226" s="40"/>
      <c r="AN226" s="64"/>
    </row>
    <row r="227" hidden="1">
      <c r="A227" s="51" t="str">
        <f t="shared" si="2"/>
        <v>E910</v>
      </c>
      <c r="B227" s="52" t="str">
        <f>IFERROR(__xludf.DUMMYFUNCTION("REGEXREPLACE($H227, ""(?i)^8301(E000|E100|E200|E300)?"", """")"),"E910006F4897D00E80D146091930D04E00B0")</f>
        <v>E910006F4897D00E80D146091930D04E00B0</v>
      </c>
      <c r="C227" s="65" t="s">
        <v>60</v>
      </c>
      <c r="D227" s="65" t="s">
        <v>524</v>
      </c>
      <c r="E227" s="65" t="s">
        <v>75</v>
      </c>
      <c r="F227" s="65" t="s">
        <v>120</v>
      </c>
      <c r="G227" s="67"/>
      <c r="H227" s="68" t="s">
        <v>474</v>
      </c>
      <c r="I227" s="53"/>
      <c r="J227" s="57" t="str">
        <f t="shared" si="3"/>
        <v>0x10</v>
      </c>
      <c r="K227" s="58" t="str">
        <f t="shared" si="4"/>
        <v>0x00</v>
      </c>
      <c r="L227" s="58" t="str">
        <f t="shared" si="5"/>
        <v>0x6F</v>
      </c>
      <c r="M227" s="59"/>
      <c r="N227" s="59"/>
      <c r="O227" s="71"/>
      <c r="P227" s="71"/>
      <c r="Q227" s="71"/>
      <c r="R227" s="59"/>
      <c r="S227" s="84"/>
      <c r="T227" s="84"/>
      <c r="U227" s="84"/>
      <c r="V227" s="90">
        <v>9.0</v>
      </c>
      <c r="W227" s="62" t="str">
        <f t="shared" si="72"/>
        <v>0x48</v>
      </c>
      <c r="X227" s="62" t="str">
        <f t="shared" ref="X227:AI227" si="187">"0x" &amp; MID($B227,$V227  + 2*(COLUMN() - COLUMN($W227)), 2)</f>
        <v>0x97</v>
      </c>
      <c r="Y227" s="62" t="str">
        <f t="shared" si="187"/>
        <v>0xD0</v>
      </c>
      <c r="Z227" s="62" t="str">
        <f t="shared" si="187"/>
        <v>0x0E</v>
      </c>
      <c r="AA227" s="62" t="str">
        <f t="shared" si="187"/>
        <v>0x80</v>
      </c>
      <c r="AB227" s="62" t="str">
        <f t="shared" si="187"/>
        <v>0xD1</v>
      </c>
      <c r="AC227" s="62" t="str">
        <f t="shared" si="187"/>
        <v>0x46</v>
      </c>
      <c r="AD227" s="62" t="str">
        <f t="shared" si="187"/>
        <v>0x09</v>
      </c>
      <c r="AE227" s="62" t="str">
        <f t="shared" si="187"/>
        <v>0x19</v>
      </c>
      <c r="AF227" s="62" t="str">
        <f t="shared" si="187"/>
        <v>0x30</v>
      </c>
      <c r="AG227" s="62" t="str">
        <f t="shared" si="187"/>
        <v>0xD0</v>
      </c>
      <c r="AH227" s="62" t="str">
        <f t="shared" si="187"/>
        <v>0x4E</v>
      </c>
      <c r="AI227" s="62" t="str">
        <f t="shared" si="187"/>
        <v>0x00</v>
      </c>
      <c r="AJ227" s="62"/>
      <c r="AK227" s="58"/>
      <c r="AL227" s="58"/>
      <c r="AM227" s="58"/>
      <c r="AN227" s="88" t="str">
        <f>"0x"&amp;MID($B227,35,2)</f>
        <v>0xB0</v>
      </c>
    </row>
    <row r="228" hidden="1">
      <c r="A228" s="33" t="str">
        <f t="shared" si="2"/>
        <v>E911</v>
      </c>
      <c r="B228" s="34" t="str">
        <f>IFERROR(__xludf.DUMMYFUNCTION("REGEXREPLACE($H228, ""(?i)^8301(E000|E100|E200|E300)?"", """")"),"E91100010F48485BF01834374894D13D050AB0")</f>
        <v>E91100010F48485BF01834374894D13D050AB0</v>
      </c>
      <c r="C228" s="36" t="s">
        <v>47</v>
      </c>
      <c r="D228" s="35"/>
      <c r="E228" s="36" t="s">
        <v>106</v>
      </c>
      <c r="F228" s="36" t="s">
        <v>175</v>
      </c>
      <c r="G228" s="37">
        <v>46220.0</v>
      </c>
      <c r="H228" s="38" t="s">
        <v>354</v>
      </c>
      <c r="I228" s="36" t="s">
        <v>153</v>
      </c>
      <c r="J228" s="39" t="str">
        <f t="shared" si="3"/>
        <v>0x11</v>
      </c>
      <c r="K228" s="40" t="str">
        <f t="shared" si="4"/>
        <v>0x00</v>
      </c>
      <c r="L228" s="40" t="str">
        <f t="shared" si="5"/>
        <v>0x01</v>
      </c>
      <c r="M228" s="42">
        <v>2.0</v>
      </c>
      <c r="N228" s="42" t="str">
        <f t="shared" ref="N228:N278" si="189">"0x"&amp;MID($B228,9,2)</f>
        <v>0x0F</v>
      </c>
      <c r="O228" s="48" t="str">
        <f t="shared" ref="O228:O278" si="190">"0x"&amp;MID($B228,11,2)</f>
        <v>0x48</v>
      </c>
      <c r="P228" s="48" t="str">
        <f t="shared" ref="P228:P278" si="191">"0x"&amp;MID($B228,13,2)</f>
        <v>0x48</v>
      </c>
      <c r="Q228" s="48"/>
      <c r="R228" s="42"/>
      <c r="S228" s="48"/>
      <c r="T228" s="48"/>
      <c r="U228" s="48"/>
      <c r="V228" s="40">
        <v>15.0</v>
      </c>
      <c r="W228" s="40" t="str">
        <f t="shared" si="72"/>
        <v>0x5B</v>
      </c>
      <c r="X228" s="40" t="str">
        <f t="shared" ref="X228:AG228" si="188">"0x" &amp; MID($B228,$V228  + 2*(COLUMN() - COLUMN($W228)), 2)</f>
        <v>0xF0</v>
      </c>
      <c r="Y228" s="40" t="str">
        <f t="shared" si="188"/>
        <v>0x18</v>
      </c>
      <c r="Z228" s="40" t="str">
        <f t="shared" si="188"/>
        <v>0x34</v>
      </c>
      <c r="AA228" s="40" t="str">
        <f t="shared" si="188"/>
        <v>0x37</v>
      </c>
      <c r="AB228" s="40" t="str">
        <f t="shared" si="188"/>
        <v>0x48</v>
      </c>
      <c r="AC228" s="40" t="str">
        <f t="shared" si="188"/>
        <v>0x94</v>
      </c>
      <c r="AD228" s="40" t="str">
        <f t="shared" si="188"/>
        <v>0xD1</v>
      </c>
      <c r="AE228" s="40" t="str">
        <f t="shared" si="188"/>
        <v>0x3D</v>
      </c>
      <c r="AF228" s="40" t="str">
        <f t="shared" si="188"/>
        <v>0x05</v>
      </c>
      <c r="AG228" s="40" t="str">
        <f t="shared" si="188"/>
        <v>0x0A</v>
      </c>
      <c r="AH228" s="40"/>
      <c r="AI228" s="40"/>
      <c r="AJ228" s="40"/>
      <c r="AK228" s="40"/>
      <c r="AL228" s="40"/>
      <c r="AM228" s="40"/>
      <c r="AN228" s="75" t="str">
        <f t="shared" ref="AN228:AN240" si="193">"0x"&amp;MID($B228,37,2)</f>
        <v>0xB0</v>
      </c>
    </row>
    <row r="229">
      <c r="A229" s="51" t="str">
        <f t="shared" si="2"/>
        <v>E911</v>
      </c>
      <c r="B229" s="52" t="str">
        <f>IFERROR(__xludf.DUMMYFUNCTION("REGEXREPLACE($H229, ""(?i)^8301(E000|E100|E200|E300)?"", """")"),"E91100010F54535BF04040374894D13D0905B0")</f>
        <v>E91100010F54535BF04040374894D13D0905B0</v>
      </c>
      <c r="C229" s="65" t="s">
        <v>30</v>
      </c>
      <c r="D229" s="65"/>
      <c r="E229" s="65" t="s">
        <v>217</v>
      </c>
      <c r="F229" s="65" t="s">
        <v>218</v>
      </c>
      <c r="G229" s="67">
        <v>46244.0</v>
      </c>
      <c r="H229" s="68" t="s">
        <v>463</v>
      </c>
      <c r="I229" s="65" t="s">
        <v>153</v>
      </c>
      <c r="J229" s="57" t="str">
        <f t="shared" si="3"/>
        <v>0x11</v>
      </c>
      <c r="K229" s="58" t="str">
        <f t="shared" si="4"/>
        <v>0x00</v>
      </c>
      <c r="L229" s="58" t="str">
        <f t="shared" si="5"/>
        <v>0x01</v>
      </c>
      <c r="M229" s="82">
        <v>2.0</v>
      </c>
      <c r="N229" s="83" t="str">
        <f t="shared" si="189"/>
        <v>0x0F</v>
      </c>
      <c r="O229" s="84" t="str">
        <f t="shared" si="190"/>
        <v>0x54</v>
      </c>
      <c r="P229" s="84" t="str">
        <f t="shared" si="191"/>
        <v>0x53</v>
      </c>
      <c r="Q229" s="85"/>
      <c r="R229" s="86"/>
      <c r="S229" s="85"/>
      <c r="T229" s="85"/>
      <c r="U229" s="85"/>
      <c r="V229" s="87">
        <v>15.0</v>
      </c>
      <c r="W229" s="62" t="str">
        <f t="shared" si="72"/>
        <v>0x5B</v>
      </c>
      <c r="X229" s="62" t="str">
        <f t="shared" ref="X229:AG229" si="192">"0x" &amp; MID($B229,$V229  + 2*(COLUMN() - COLUMN($W229)), 2)</f>
        <v>0xF0</v>
      </c>
      <c r="Y229" s="62" t="str">
        <f t="shared" si="192"/>
        <v>0x40</v>
      </c>
      <c r="Z229" s="62" t="str">
        <f t="shared" si="192"/>
        <v>0x40</v>
      </c>
      <c r="AA229" s="62" t="str">
        <f t="shared" si="192"/>
        <v>0x37</v>
      </c>
      <c r="AB229" s="62" t="str">
        <f t="shared" si="192"/>
        <v>0x48</v>
      </c>
      <c r="AC229" s="62" t="str">
        <f t="shared" si="192"/>
        <v>0x94</v>
      </c>
      <c r="AD229" s="62" t="str">
        <f t="shared" si="192"/>
        <v>0xD1</v>
      </c>
      <c r="AE229" s="62" t="str">
        <f t="shared" si="192"/>
        <v>0x3D</v>
      </c>
      <c r="AF229" s="62" t="str">
        <f t="shared" si="192"/>
        <v>0x09</v>
      </c>
      <c r="AG229" s="62" t="str">
        <f t="shared" si="192"/>
        <v>0x05</v>
      </c>
      <c r="AH229" s="94"/>
      <c r="AI229" s="94"/>
      <c r="AJ229" s="94"/>
      <c r="AK229" s="94"/>
      <c r="AL229" s="94"/>
      <c r="AM229" s="94"/>
      <c r="AN229" s="74" t="str">
        <f t="shared" si="193"/>
        <v>0xB0</v>
      </c>
    </row>
    <row r="230" hidden="1">
      <c r="A230" s="33" t="str">
        <f t="shared" si="2"/>
        <v>E911</v>
      </c>
      <c r="B230" s="34" t="str">
        <f>IFERROR(__xludf.DUMMYFUNCTION("REGEXREPLACE($H230, ""(?i)^8301(E000|E100|E200|E300)?"", """")"),"E91100010F5B5B5BF01834374894D13D050AB0")</f>
        <v>E91100010F5B5B5BF01834374894D13D050AB0</v>
      </c>
      <c r="C230" s="36" t="s">
        <v>47</v>
      </c>
      <c r="D230" s="35"/>
      <c r="E230" s="36" t="s">
        <v>129</v>
      </c>
      <c r="F230" s="69" t="s">
        <v>137</v>
      </c>
      <c r="G230" s="37">
        <v>46240.0</v>
      </c>
      <c r="H230" s="44" t="s">
        <v>392</v>
      </c>
      <c r="I230" s="36" t="s">
        <v>153</v>
      </c>
      <c r="J230" s="39" t="str">
        <f t="shared" si="3"/>
        <v>0x11</v>
      </c>
      <c r="K230" s="40" t="str">
        <f t="shared" si="4"/>
        <v>0x00</v>
      </c>
      <c r="L230" s="40" t="str">
        <f t="shared" si="5"/>
        <v>0x01</v>
      </c>
      <c r="M230" s="77">
        <v>2.0</v>
      </c>
      <c r="N230" s="78" t="str">
        <f t="shared" si="189"/>
        <v>0x0F</v>
      </c>
      <c r="O230" s="72" t="str">
        <f t="shared" si="190"/>
        <v>0x5B</v>
      </c>
      <c r="P230" s="72" t="str">
        <f t="shared" si="191"/>
        <v>0x5B</v>
      </c>
      <c r="Q230" s="79"/>
      <c r="R230" s="80"/>
      <c r="S230" s="79"/>
      <c r="T230" s="79"/>
      <c r="U230" s="79"/>
      <c r="V230" s="81">
        <v>15.0</v>
      </c>
      <c r="W230" s="47" t="str">
        <f t="shared" si="72"/>
        <v>0x5B</v>
      </c>
      <c r="X230" s="47" t="str">
        <f t="shared" ref="X230:AG230" si="194">"0x" &amp; MID($B230,$V230  + 2*(COLUMN() - COLUMN($W230)), 2)</f>
        <v>0xF0</v>
      </c>
      <c r="Y230" s="47" t="str">
        <f t="shared" si="194"/>
        <v>0x18</v>
      </c>
      <c r="Z230" s="47" t="str">
        <f t="shared" si="194"/>
        <v>0x34</v>
      </c>
      <c r="AA230" s="47" t="str">
        <f t="shared" si="194"/>
        <v>0x37</v>
      </c>
      <c r="AB230" s="47" t="str">
        <f t="shared" si="194"/>
        <v>0x48</v>
      </c>
      <c r="AC230" s="47" t="str">
        <f t="shared" si="194"/>
        <v>0x94</v>
      </c>
      <c r="AD230" s="47" t="str">
        <f t="shared" si="194"/>
        <v>0xD1</v>
      </c>
      <c r="AE230" s="47" t="str">
        <f t="shared" si="194"/>
        <v>0x3D</v>
      </c>
      <c r="AF230" s="47" t="str">
        <f t="shared" si="194"/>
        <v>0x05</v>
      </c>
      <c r="AG230" s="47" t="str">
        <f t="shared" si="194"/>
        <v>0x0A</v>
      </c>
      <c r="AH230" s="93"/>
      <c r="AI230" s="93"/>
      <c r="AJ230" s="93"/>
      <c r="AK230" s="93"/>
      <c r="AL230" s="93"/>
      <c r="AM230" s="93"/>
      <c r="AN230" s="64" t="str">
        <f t="shared" si="193"/>
        <v>0xB0</v>
      </c>
    </row>
    <row r="231" hidden="1">
      <c r="A231" s="51" t="str">
        <f t="shared" si="2"/>
        <v>E911</v>
      </c>
      <c r="B231" s="52" t="str">
        <f>IFERROR(__xludf.DUMMYFUNCTION("REGEXREPLACE($H231, ""(?i)^8301(E000|E100|E200|E300)?"", """")"),"E91100020F48485BF01834374894D13D050AB0")</f>
        <v>E91100020F48485BF01834374894D13D050AB0</v>
      </c>
      <c r="C231" s="65" t="s">
        <v>47</v>
      </c>
      <c r="D231" s="53"/>
      <c r="E231" s="65" t="s">
        <v>106</v>
      </c>
      <c r="F231" s="65" t="s">
        <v>175</v>
      </c>
      <c r="G231" s="67">
        <v>46220.0</v>
      </c>
      <c r="H231" s="68" t="s">
        <v>356</v>
      </c>
      <c r="I231" s="65" t="s">
        <v>153</v>
      </c>
      <c r="J231" s="57" t="str">
        <f t="shared" si="3"/>
        <v>0x11</v>
      </c>
      <c r="K231" s="58" t="str">
        <f t="shared" si="4"/>
        <v>0x00</v>
      </c>
      <c r="L231" s="58" t="str">
        <f t="shared" si="5"/>
        <v>0x02</v>
      </c>
      <c r="M231" s="82">
        <v>2.0</v>
      </c>
      <c r="N231" s="83" t="str">
        <f t="shared" si="189"/>
        <v>0x0F</v>
      </c>
      <c r="O231" s="84" t="str">
        <f t="shared" si="190"/>
        <v>0x48</v>
      </c>
      <c r="P231" s="84" t="str">
        <f t="shared" si="191"/>
        <v>0x48</v>
      </c>
      <c r="Q231" s="85"/>
      <c r="R231" s="86"/>
      <c r="S231" s="85"/>
      <c r="T231" s="85"/>
      <c r="U231" s="85"/>
      <c r="V231" s="87">
        <v>15.0</v>
      </c>
      <c r="W231" s="62" t="str">
        <f t="shared" si="72"/>
        <v>0x5B</v>
      </c>
      <c r="X231" s="62" t="str">
        <f t="shared" ref="X231:AG231" si="195">"0x" &amp; MID($B231,$V231  + 2*(COLUMN() - COLUMN($W231)), 2)</f>
        <v>0xF0</v>
      </c>
      <c r="Y231" s="62" t="str">
        <f t="shared" si="195"/>
        <v>0x18</v>
      </c>
      <c r="Z231" s="62" t="str">
        <f t="shared" si="195"/>
        <v>0x34</v>
      </c>
      <c r="AA231" s="62" t="str">
        <f t="shared" si="195"/>
        <v>0x37</v>
      </c>
      <c r="AB231" s="62" t="str">
        <f t="shared" si="195"/>
        <v>0x48</v>
      </c>
      <c r="AC231" s="62" t="str">
        <f t="shared" si="195"/>
        <v>0x94</v>
      </c>
      <c r="AD231" s="62" t="str">
        <f t="shared" si="195"/>
        <v>0xD1</v>
      </c>
      <c r="AE231" s="62" t="str">
        <f t="shared" si="195"/>
        <v>0x3D</v>
      </c>
      <c r="AF231" s="62" t="str">
        <f t="shared" si="195"/>
        <v>0x05</v>
      </c>
      <c r="AG231" s="62" t="str">
        <f t="shared" si="195"/>
        <v>0x0A</v>
      </c>
      <c r="AH231" s="94"/>
      <c r="AI231" s="94"/>
      <c r="AJ231" s="94"/>
      <c r="AK231" s="94"/>
      <c r="AL231" s="94"/>
      <c r="AM231" s="94"/>
      <c r="AN231" s="74" t="str">
        <f t="shared" si="193"/>
        <v>0xB0</v>
      </c>
    </row>
    <row r="232" hidden="1">
      <c r="A232" s="33" t="str">
        <f t="shared" si="2"/>
        <v>E911</v>
      </c>
      <c r="B232" s="34" t="str">
        <f>IFERROR(__xludf.DUMMYFUNCTION("REGEXREPLACE($H232, ""(?i)^8301(E000|E100|E200|E300)?"", """")"),"E91100020F4E4D5BF03134374894D13D0507B0")</f>
        <v>E91100020F4E4D5BF03134374894D13D0507B0</v>
      </c>
      <c r="C232" s="36" t="s">
        <v>47</v>
      </c>
      <c r="D232" s="35"/>
      <c r="E232" s="36" t="s">
        <v>106</v>
      </c>
      <c r="F232" s="36" t="s">
        <v>175</v>
      </c>
      <c r="G232" s="37">
        <v>46220.0</v>
      </c>
      <c r="H232" s="38" t="s">
        <v>358</v>
      </c>
      <c r="I232" s="36" t="s">
        <v>153</v>
      </c>
      <c r="J232" s="39" t="str">
        <f t="shared" si="3"/>
        <v>0x11</v>
      </c>
      <c r="K232" s="40" t="str">
        <f t="shared" si="4"/>
        <v>0x00</v>
      </c>
      <c r="L232" s="40" t="str">
        <f t="shared" si="5"/>
        <v>0x02</v>
      </c>
      <c r="M232" s="77">
        <v>2.0</v>
      </c>
      <c r="N232" s="78" t="str">
        <f t="shared" si="189"/>
        <v>0x0F</v>
      </c>
      <c r="O232" s="72" t="str">
        <f t="shared" si="190"/>
        <v>0x4E</v>
      </c>
      <c r="P232" s="72" t="str">
        <f t="shared" si="191"/>
        <v>0x4D</v>
      </c>
      <c r="Q232" s="79"/>
      <c r="R232" s="80"/>
      <c r="S232" s="79"/>
      <c r="T232" s="79"/>
      <c r="U232" s="79"/>
      <c r="V232" s="81">
        <v>15.0</v>
      </c>
      <c r="W232" s="47" t="str">
        <f t="shared" si="72"/>
        <v>0x5B</v>
      </c>
      <c r="X232" s="47" t="str">
        <f t="shared" ref="X232:AG232" si="196">"0x" &amp; MID($B232,$V232  + 2*(COLUMN() - COLUMN($W232)), 2)</f>
        <v>0xF0</v>
      </c>
      <c r="Y232" s="47" t="str">
        <f t="shared" si="196"/>
        <v>0x31</v>
      </c>
      <c r="Z232" s="47" t="str">
        <f t="shared" si="196"/>
        <v>0x34</v>
      </c>
      <c r="AA232" s="47" t="str">
        <f t="shared" si="196"/>
        <v>0x37</v>
      </c>
      <c r="AB232" s="47" t="str">
        <f t="shared" si="196"/>
        <v>0x48</v>
      </c>
      <c r="AC232" s="47" t="str">
        <f t="shared" si="196"/>
        <v>0x94</v>
      </c>
      <c r="AD232" s="47" t="str">
        <f t="shared" si="196"/>
        <v>0xD1</v>
      </c>
      <c r="AE232" s="47" t="str">
        <f t="shared" si="196"/>
        <v>0x3D</v>
      </c>
      <c r="AF232" s="47" t="str">
        <f t="shared" si="196"/>
        <v>0x05</v>
      </c>
      <c r="AG232" s="47" t="str">
        <f t="shared" si="196"/>
        <v>0x07</v>
      </c>
      <c r="AH232" s="93"/>
      <c r="AI232" s="93"/>
      <c r="AJ232" s="93"/>
      <c r="AK232" s="93"/>
      <c r="AL232" s="93"/>
      <c r="AM232" s="93"/>
      <c r="AN232" s="64" t="str">
        <f t="shared" si="193"/>
        <v>0xB0</v>
      </c>
    </row>
    <row r="233" hidden="1">
      <c r="A233" s="51" t="str">
        <f t="shared" si="2"/>
        <v>E911</v>
      </c>
      <c r="B233" s="52" t="str">
        <f>IFERROR(__xludf.DUMMYFUNCTION("REGEXREPLACE($H233, ""(?i)^8301(E000|E100|E200|E300)?"", """")"),"E91100020F51515BF03134374894D13D0507B0")</f>
        <v>E91100020F51515BF03134374894D13D0507B0</v>
      </c>
      <c r="C233" s="65" t="s">
        <v>47</v>
      </c>
      <c r="D233" s="53"/>
      <c r="E233" s="65" t="s">
        <v>106</v>
      </c>
      <c r="F233" s="65" t="s">
        <v>175</v>
      </c>
      <c r="G233" s="67">
        <v>46220.0</v>
      </c>
      <c r="H233" s="68" t="s">
        <v>359</v>
      </c>
      <c r="I233" s="65" t="s">
        <v>153</v>
      </c>
      <c r="J233" s="57" t="str">
        <f t="shared" si="3"/>
        <v>0x11</v>
      </c>
      <c r="K233" s="58" t="str">
        <f t="shared" si="4"/>
        <v>0x00</v>
      </c>
      <c r="L233" s="58" t="str">
        <f t="shared" si="5"/>
        <v>0x02</v>
      </c>
      <c r="M233" s="82">
        <v>2.0</v>
      </c>
      <c r="N233" s="83" t="str">
        <f t="shared" si="189"/>
        <v>0x0F</v>
      </c>
      <c r="O233" s="84" t="str">
        <f t="shared" si="190"/>
        <v>0x51</v>
      </c>
      <c r="P233" s="84" t="str">
        <f t="shared" si="191"/>
        <v>0x51</v>
      </c>
      <c r="Q233" s="85"/>
      <c r="R233" s="86"/>
      <c r="S233" s="85"/>
      <c r="T233" s="85"/>
      <c r="U233" s="85"/>
      <c r="V233" s="87">
        <v>15.0</v>
      </c>
      <c r="W233" s="62" t="str">
        <f t="shared" si="72"/>
        <v>0x5B</v>
      </c>
      <c r="X233" s="62" t="str">
        <f t="shared" ref="X233:AG233" si="197">"0x" &amp; MID($B233,$V233  + 2*(COLUMN() - COLUMN($W233)), 2)</f>
        <v>0xF0</v>
      </c>
      <c r="Y233" s="62" t="str">
        <f t="shared" si="197"/>
        <v>0x31</v>
      </c>
      <c r="Z233" s="62" t="str">
        <f t="shared" si="197"/>
        <v>0x34</v>
      </c>
      <c r="AA233" s="62" t="str">
        <f t="shared" si="197"/>
        <v>0x37</v>
      </c>
      <c r="AB233" s="62" t="str">
        <f t="shared" si="197"/>
        <v>0x48</v>
      </c>
      <c r="AC233" s="62" t="str">
        <f t="shared" si="197"/>
        <v>0x94</v>
      </c>
      <c r="AD233" s="62" t="str">
        <f t="shared" si="197"/>
        <v>0xD1</v>
      </c>
      <c r="AE233" s="62" t="str">
        <f t="shared" si="197"/>
        <v>0x3D</v>
      </c>
      <c r="AF233" s="62" t="str">
        <f t="shared" si="197"/>
        <v>0x05</v>
      </c>
      <c r="AG233" s="62" t="str">
        <f t="shared" si="197"/>
        <v>0x07</v>
      </c>
      <c r="AH233" s="94"/>
      <c r="AI233" s="94"/>
      <c r="AJ233" s="94"/>
      <c r="AK233" s="94"/>
      <c r="AL233" s="94"/>
      <c r="AM233" s="94"/>
      <c r="AN233" s="74" t="str">
        <f t="shared" si="193"/>
        <v>0xB0</v>
      </c>
    </row>
    <row r="234" hidden="1">
      <c r="A234" s="33" t="str">
        <f t="shared" si="2"/>
        <v>E911</v>
      </c>
      <c r="B234" s="34" t="str">
        <f>IFERROR(__xludf.DUMMYFUNCTION("REGEXREPLACE($H234, ""(?i)^8301(E000|E100|E200|E300)?"", """")"),"E91100020F5D555BF03134374894D13D0507B0")</f>
        <v>E91100020F5D555BF03134374894D13D0507B0</v>
      </c>
      <c r="C234" s="36" t="s">
        <v>47</v>
      </c>
      <c r="D234" s="35"/>
      <c r="E234" s="36" t="s">
        <v>129</v>
      </c>
      <c r="F234" s="36" t="s">
        <v>137</v>
      </c>
      <c r="G234" s="37">
        <v>46207.0</v>
      </c>
      <c r="H234" s="44" t="s">
        <v>360</v>
      </c>
      <c r="I234" s="36" t="s">
        <v>153</v>
      </c>
      <c r="J234" s="39" t="str">
        <f t="shared" si="3"/>
        <v>0x11</v>
      </c>
      <c r="K234" s="40" t="str">
        <f t="shared" si="4"/>
        <v>0x00</v>
      </c>
      <c r="L234" s="40" t="str">
        <f t="shared" si="5"/>
        <v>0x02</v>
      </c>
      <c r="M234" s="77">
        <v>2.0</v>
      </c>
      <c r="N234" s="78" t="str">
        <f t="shared" si="189"/>
        <v>0x0F</v>
      </c>
      <c r="O234" s="72" t="str">
        <f t="shared" si="190"/>
        <v>0x5D</v>
      </c>
      <c r="P234" s="72" t="str">
        <f t="shared" si="191"/>
        <v>0x55</v>
      </c>
      <c r="Q234" s="79"/>
      <c r="R234" s="80"/>
      <c r="S234" s="79"/>
      <c r="T234" s="79"/>
      <c r="U234" s="79"/>
      <c r="V234" s="81">
        <v>15.0</v>
      </c>
      <c r="W234" s="47" t="str">
        <f t="shared" si="72"/>
        <v>0x5B</v>
      </c>
      <c r="X234" s="47" t="str">
        <f t="shared" ref="X234:AG234" si="198">"0x" &amp; MID($B234,$V234  + 2*(COLUMN() - COLUMN($W234)), 2)</f>
        <v>0xF0</v>
      </c>
      <c r="Y234" s="47" t="str">
        <f t="shared" si="198"/>
        <v>0x31</v>
      </c>
      <c r="Z234" s="47" t="str">
        <f t="shared" si="198"/>
        <v>0x34</v>
      </c>
      <c r="AA234" s="47" t="str">
        <f t="shared" si="198"/>
        <v>0x37</v>
      </c>
      <c r="AB234" s="47" t="str">
        <f t="shared" si="198"/>
        <v>0x48</v>
      </c>
      <c r="AC234" s="47" t="str">
        <f t="shared" si="198"/>
        <v>0x94</v>
      </c>
      <c r="AD234" s="47" t="str">
        <f t="shared" si="198"/>
        <v>0xD1</v>
      </c>
      <c r="AE234" s="47" t="str">
        <f t="shared" si="198"/>
        <v>0x3D</v>
      </c>
      <c r="AF234" s="47" t="str">
        <f t="shared" si="198"/>
        <v>0x05</v>
      </c>
      <c r="AG234" s="47" t="str">
        <f t="shared" si="198"/>
        <v>0x07</v>
      </c>
      <c r="AH234" s="93"/>
      <c r="AI234" s="93"/>
      <c r="AJ234" s="93"/>
      <c r="AK234" s="93"/>
      <c r="AL234" s="93"/>
      <c r="AM234" s="93"/>
      <c r="AN234" s="64" t="str">
        <f t="shared" si="193"/>
        <v>0xB0</v>
      </c>
    </row>
    <row r="235" hidden="1">
      <c r="A235" s="51" t="str">
        <f t="shared" si="2"/>
        <v>E911</v>
      </c>
      <c r="B235" s="52" t="str">
        <f>IFERROR(__xludf.DUMMYFUNCTION("REGEXREPLACE($H235, ""(?i)^8301(E000|E100|E200|E300)?"", """")"),"E911000A0F55555BF03134374894D13D0507B0")</f>
        <v>E911000A0F55555BF03134374894D13D0507B0</v>
      </c>
      <c r="C235" s="65" t="s">
        <v>47</v>
      </c>
      <c r="D235" s="53"/>
      <c r="E235" s="65" t="s">
        <v>129</v>
      </c>
      <c r="F235" s="89" t="s">
        <v>137</v>
      </c>
      <c r="G235" s="67">
        <v>46240.0</v>
      </c>
      <c r="H235" s="56" t="s">
        <v>394</v>
      </c>
      <c r="I235" s="65" t="s">
        <v>153</v>
      </c>
      <c r="J235" s="57" t="str">
        <f t="shared" si="3"/>
        <v>0x11</v>
      </c>
      <c r="K235" s="58" t="str">
        <f t="shared" si="4"/>
        <v>0x00</v>
      </c>
      <c r="L235" s="58" t="str">
        <f t="shared" si="5"/>
        <v>0x0A</v>
      </c>
      <c r="M235" s="82">
        <v>2.0</v>
      </c>
      <c r="N235" s="83" t="str">
        <f t="shared" si="189"/>
        <v>0x0F</v>
      </c>
      <c r="O235" s="84" t="str">
        <f t="shared" si="190"/>
        <v>0x55</v>
      </c>
      <c r="P235" s="84" t="str">
        <f t="shared" si="191"/>
        <v>0x55</v>
      </c>
      <c r="Q235" s="85"/>
      <c r="R235" s="86"/>
      <c r="S235" s="85"/>
      <c r="T235" s="85"/>
      <c r="U235" s="85"/>
      <c r="V235" s="87">
        <v>15.0</v>
      </c>
      <c r="W235" s="62" t="str">
        <f t="shared" si="72"/>
        <v>0x5B</v>
      </c>
      <c r="X235" s="62" t="str">
        <f t="shared" ref="X235:AG235" si="199">"0x" &amp; MID($B235,$V235  + 2*(COLUMN() - COLUMN($W235)), 2)</f>
        <v>0xF0</v>
      </c>
      <c r="Y235" s="62" t="str">
        <f t="shared" si="199"/>
        <v>0x31</v>
      </c>
      <c r="Z235" s="62" t="str">
        <f t="shared" si="199"/>
        <v>0x34</v>
      </c>
      <c r="AA235" s="62" t="str">
        <f t="shared" si="199"/>
        <v>0x37</v>
      </c>
      <c r="AB235" s="62" t="str">
        <f t="shared" si="199"/>
        <v>0x48</v>
      </c>
      <c r="AC235" s="62" t="str">
        <f t="shared" si="199"/>
        <v>0x94</v>
      </c>
      <c r="AD235" s="62" t="str">
        <f t="shared" si="199"/>
        <v>0xD1</v>
      </c>
      <c r="AE235" s="62" t="str">
        <f t="shared" si="199"/>
        <v>0x3D</v>
      </c>
      <c r="AF235" s="62" t="str">
        <f t="shared" si="199"/>
        <v>0x05</v>
      </c>
      <c r="AG235" s="62" t="str">
        <f t="shared" si="199"/>
        <v>0x07</v>
      </c>
      <c r="AH235" s="94"/>
      <c r="AI235" s="94"/>
      <c r="AJ235" s="94"/>
      <c r="AK235" s="94"/>
      <c r="AL235" s="94"/>
      <c r="AM235" s="94"/>
      <c r="AN235" s="74" t="str">
        <f t="shared" si="193"/>
        <v>0xB0</v>
      </c>
    </row>
    <row r="236" hidden="1">
      <c r="A236" s="33" t="str">
        <f t="shared" si="2"/>
        <v>E911</v>
      </c>
      <c r="B236" s="34" t="str">
        <f>IFERROR(__xludf.DUMMYFUNCTION("REGEXREPLACE($H236, ""(?i)^8301(E000|E100|E200|E300)?"", """")"),"E911000C0F55555BF01820374894D13D050BB0")</f>
        <v>E911000C0F55555BF01820374894D13D050BB0</v>
      </c>
      <c r="C236" s="36" t="s">
        <v>47</v>
      </c>
      <c r="D236" s="36" t="s">
        <v>508</v>
      </c>
      <c r="E236" s="36" t="s">
        <v>129</v>
      </c>
      <c r="F236" s="69" t="s">
        <v>137</v>
      </c>
      <c r="G236" s="37">
        <v>46240.0</v>
      </c>
      <c r="H236" s="44" t="s">
        <v>395</v>
      </c>
      <c r="I236" s="36" t="s">
        <v>153</v>
      </c>
      <c r="J236" s="39" t="str">
        <f t="shared" si="3"/>
        <v>0x11</v>
      </c>
      <c r="K236" s="40" t="str">
        <f t="shared" si="4"/>
        <v>0x00</v>
      </c>
      <c r="L236" s="40" t="str">
        <f t="shared" si="5"/>
        <v>0x0C</v>
      </c>
      <c r="M236" s="77">
        <v>2.0</v>
      </c>
      <c r="N236" s="78" t="str">
        <f t="shared" si="189"/>
        <v>0x0F</v>
      </c>
      <c r="O236" s="72" t="str">
        <f t="shared" si="190"/>
        <v>0x55</v>
      </c>
      <c r="P236" s="72" t="str">
        <f t="shared" si="191"/>
        <v>0x55</v>
      </c>
      <c r="Q236" s="79"/>
      <c r="R236" s="80"/>
      <c r="S236" s="79"/>
      <c r="T236" s="79"/>
      <c r="U236" s="79"/>
      <c r="V236" s="81">
        <v>15.0</v>
      </c>
      <c r="W236" s="47" t="str">
        <f t="shared" si="72"/>
        <v>0x5B</v>
      </c>
      <c r="X236" s="47" t="str">
        <f t="shared" ref="X236:AG236" si="200">"0x" &amp; MID($B236,$V236  + 2*(COLUMN() - COLUMN($W236)), 2)</f>
        <v>0xF0</v>
      </c>
      <c r="Y236" s="47" t="str">
        <f t="shared" si="200"/>
        <v>0x18</v>
      </c>
      <c r="Z236" s="47" t="str">
        <f t="shared" si="200"/>
        <v>0x20</v>
      </c>
      <c r="AA236" s="47" t="str">
        <f t="shared" si="200"/>
        <v>0x37</v>
      </c>
      <c r="AB236" s="47" t="str">
        <f t="shared" si="200"/>
        <v>0x48</v>
      </c>
      <c r="AC236" s="47" t="str">
        <f t="shared" si="200"/>
        <v>0x94</v>
      </c>
      <c r="AD236" s="47" t="str">
        <f t="shared" si="200"/>
        <v>0xD1</v>
      </c>
      <c r="AE236" s="47" t="str">
        <f t="shared" si="200"/>
        <v>0x3D</v>
      </c>
      <c r="AF236" s="47" t="str">
        <f t="shared" si="200"/>
        <v>0x05</v>
      </c>
      <c r="AG236" s="47" t="str">
        <f t="shared" si="200"/>
        <v>0x0B</v>
      </c>
      <c r="AH236" s="93"/>
      <c r="AI236" s="93"/>
      <c r="AJ236" s="93"/>
      <c r="AK236" s="93"/>
      <c r="AL236" s="93"/>
      <c r="AM236" s="93"/>
      <c r="AN236" s="64" t="str">
        <f t="shared" si="193"/>
        <v>0xB0</v>
      </c>
    </row>
    <row r="237" hidden="1">
      <c r="A237" s="51" t="str">
        <f t="shared" si="2"/>
        <v>E911</v>
      </c>
      <c r="B237" s="52" t="str">
        <f>IFERROR(__xludf.DUMMYFUNCTION("REGEXREPLACE($H237, ""(?i)^8301(E000|E100|E200|E300)?"", """")"),"E911000F0F444F58F44882D146060AD06543B0")</f>
        <v>E911000F0F444F58F44882D146060AD06543B0</v>
      </c>
      <c r="C237" s="65" t="s">
        <v>484</v>
      </c>
      <c r="D237" s="65" t="s">
        <v>491</v>
      </c>
      <c r="E237" s="65" t="s">
        <v>75</v>
      </c>
      <c r="F237" s="65" t="s">
        <v>120</v>
      </c>
      <c r="G237" s="67">
        <v>46219.0</v>
      </c>
      <c r="H237" s="68" t="s">
        <v>361</v>
      </c>
      <c r="I237" s="65"/>
      <c r="J237" s="57" t="str">
        <f t="shared" si="3"/>
        <v>0x11</v>
      </c>
      <c r="K237" s="58" t="str">
        <f t="shared" si="4"/>
        <v>0x00</v>
      </c>
      <c r="L237" s="58" t="str">
        <f t="shared" si="5"/>
        <v>0x0F</v>
      </c>
      <c r="M237" s="82">
        <v>2.0</v>
      </c>
      <c r="N237" s="83" t="str">
        <f t="shared" si="189"/>
        <v>0x0F</v>
      </c>
      <c r="O237" s="84" t="str">
        <f t="shared" si="190"/>
        <v>0x44</v>
      </c>
      <c r="P237" s="84" t="str">
        <f t="shared" si="191"/>
        <v>0x4F</v>
      </c>
      <c r="Q237" s="85"/>
      <c r="R237" s="86"/>
      <c r="S237" s="85"/>
      <c r="T237" s="85"/>
      <c r="U237" s="85"/>
      <c r="V237" s="87">
        <v>15.0</v>
      </c>
      <c r="W237" s="58" t="str">
        <f t="shared" si="72"/>
        <v>0x58</v>
      </c>
      <c r="X237" s="58" t="str">
        <f t="shared" ref="X237:AG237" si="201">"0x" &amp; MID($B237,$V237  + 2*(COLUMN() - COLUMN($W237)), 2)</f>
        <v>0xF4</v>
      </c>
      <c r="Y237" s="58" t="str">
        <f t="shared" si="201"/>
        <v>0x48</v>
      </c>
      <c r="Z237" s="58" t="str">
        <f t="shared" si="201"/>
        <v>0x82</v>
      </c>
      <c r="AA237" s="58" t="str">
        <f t="shared" si="201"/>
        <v>0xD1</v>
      </c>
      <c r="AB237" s="58" t="str">
        <f t="shared" si="201"/>
        <v>0x46</v>
      </c>
      <c r="AC237" s="58" t="str">
        <f t="shared" si="201"/>
        <v>0x06</v>
      </c>
      <c r="AD237" s="58" t="str">
        <f t="shared" si="201"/>
        <v>0x0A</v>
      </c>
      <c r="AE237" s="58" t="str">
        <f t="shared" si="201"/>
        <v>0xD0</v>
      </c>
      <c r="AF237" s="58" t="str">
        <f t="shared" si="201"/>
        <v>0x65</v>
      </c>
      <c r="AG237" s="58" t="str">
        <f t="shared" si="201"/>
        <v>0x43</v>
      </c>
      <c r="AH237" s="58"/>
      <c r="AI237" s="58"/>
      <c r="AJ237" s="58"/>
      <c r="AK237" s="58"/>
      <c r="AL237" s="58"/>
      <c r="AM237" s="58"/>
      <c r="AN237" s="74" t="str">
        <f t="shared" si="193"/>
        <v>0xB0</v>
      </c>
    </row>
    <row r="238" hidden="1">
      <c r="A238" s="33" t="str">
        <f t="shared" si="2"/>
        <v>E911</v>
      </c>
      <c r="B238" s="34" t="str">
        <f>IFERROR(__xludf.DUMMYFUNCTION("REGEXREPLACE($H238, ""(?i)^8301(E000|E100|E200|E300)?"", """")"),"E911000F0F485958F44882D146020DD06505B0")</f>
        <v>E911000F0F485958F44882D146020DD06505B0</v>
      </c>
      <c r="C238" s="36" t="s">
        <v>477</v>
      </c>
      <c r="D238" s="36" t="s">
        <v>478</v>
      </c>
      <c r="E238" s="36" t="s">
        <v>75</v>
      </c>
      <c r="F238" s="36" t="s">
        <v>120</v>
      </c>
      <c r="G238" s="37">
        <v>46219.0</v>
      </c>
      <c r="H238" s="38" t="s">
        <v>362</v>
      </c>
      <c r="I238" s="36"/>
      <c r="J238" s="39" t="str">
        <f t="shared" si="3"/>
        <v>0x11</v>
      </c>
      <c r="K238" s="40" t="str">
        <f t="shared" si="4"/>
        <v>0x00</v>
      </c>
      <c r="L238" s="40" t="str">
        <f t="shared" si="5"/>
        <v>0x0F</v>
      </c>
      <c r="M238" s="77">
        <v>2.0</v>
      </c>
      <c r="N238" s="78" t="str">
        <f t="shared" si="189"/>
        <v>0x0F</v>
      </c>
      <c r="O238" s="72" t="str">
        <f t="shared" si="190"/>
        <v>0x48</v>
      </c>
      <c r="P238" s="72" t="str">
        <f t="shared" si="191"/>
        <v>0x59</v>
      </c>
      <c r="Q238" s="79"/>
      <c r="R238" s="80"/>
      <c r="S238" s="79"/>
      <c r="T238" s="79"/>
      <c r="U238" s="79"/>
      <c r="V238" s="81">
        <v>15.0</v>
      </c>
      <c r="W238" s="40" t="str">
        <f t="shared" si="72"/>
        <v>0x58</v>
      </c>
      <c r="X238" s="40" t="str">
        <f t="shared" ref="X238:AG238" si="202">"0x" &amp; MID($B238,$V238  + 2*(COLUMN() - COLUMN($W238)), 2)</f>
        <v>0xF4</v>
      </c>
      <c r="Y238" s="40" t="str">
        <f t="shared" si="202"/>
        <v>0x48</v>
      </c>
      <c r="Z238" s="40" t="str">
        <f t="shared" si="202"/>
        <v>0x82</v>
      </c>
      <c r="AA238" s="40" t="str">
        <f t="shared" si="202"/>
        <v>0xD1</v>
      </c>
      <c r="AB238" s="40" t="str">
        <f t="shared" si="202"/>
        <v>0x46</v>
      </c>
      <c r="AC238" s="40" t="str">
        <f t="shared" si="202"/>
        <v>0x02</v>
      </c>
      <c r="AD238" s="40" t="str">
        <f t="shared" si="202"/>
        <v>0x0D</v>
      </c>
      <c r="AE238" s="40" t="str">
        <f t="shared" si="202"/>
        <v>0xD0</v>
      </c>
      <c r="AF238" s="40" t="str">
        <f t="shared" si="202"/>
        <v>0x65</v>
      </c>
      <c r="AG238" s="40" t="str">
        <f t="shared" si="202"/>
        <v>0x05</v>
      </c>
      <c r="AH238" s="40"/>
      <c r="AI238" s="40"/>
      <c r="AJ238" s="40"/>
      <c r="AK238" s="40"/>
      <c r="AL238" s="40"/>
      <c r="AM238" s="40"/>
      <c r="AN238" s="64" t="str">
        <f t="shared" si="193"/>
        <v>0xB0</v>
      </c>
    </row>
    <row r="239" hidden="1">
      <c r="A239" s="51" t="str">
        <f t="shared" si="2"/>
        <v>E911</v>
      </c>
      <c r="B239" s="52" t="str">
        <f>IFERROR(__xludf.DUMMYFUNCTION("REGEXREPLACE($H239, ""(?i)^8301(E000|E100|E200|E300)?"", """")"),"E911000F0F515558F44882D146023ED06505B0")</f>
        <v>E911000F0F515558F44882D146023ED06505B0</v>
      </c>
      <c r="C239" s="65" t="s">
        <v>484</v>
      </c>
      <c r="D239" s="65" t="s">
        <v>478</v>
      </c>
      <c r="E239" s="65" t="s">
        <v>75</v>
      </c>
      <c r="F239" s="65" t="s">
        <v>120</v>
      </c>
      <c r="G239" s="67">
        <v>46219.0</v>
      </c>
      <c r="H239" s="68" t="s">
        <v>363</v>
      </c>
      <c r="I239" s="65"/>
      <c r="J239" s="57" t="str">
        <f t="shared" si="3"/>
        <v>0x11</v>
      </c>
      <c r="K239" s="58" t="str">
        <f t="shared" si="4"/>
        <v>0x00</v>
      </c>
      <c r="L239" s="58" t="str">
        <f t="shared" si="5"/>
        <v>0x0F</v>
      </c>
      <c r="M239" s="82">
        <v>2.0</v>
      </c>
      <c r="N239" s="83" t="str">
        <f t="shared" si="189"/>
        <v>0x0F</v>
      </c>
      <c r="O239" s="84" t="str">
        <f t="shared" si="190"/>
        <v>0x51</v>
      </c>
      <c r="P239" s="84" t="str">
        <f t="shared" si="191"/>
        <v>0x55</v>
      </c>
      <c r="Q239" s="85"/>
      <c r="R239" s="86"/>
      <c r="S239" s="85"/>
      <c r="T239" s="85"/>
      <c r="U239" s="85"/>
      <c r="V239" s="87">
        <v>15.0</v>
      </c>
      <c r="W239" s="58" t="str">
        <f t="shared" si="72"/>
        <v>0x58</v>
      </c>
      <c r="X239" s="58" t="str">
        <f t="shared" ref="X239:AG239" si="203">"0x" &amp; MID($B239,$V239  + 2*(COLUMN() - COLUMN($W239)), 2)</f>
        <v>0xF4</v>
      </c>
      <c r="Y239" s="58" t="str">
        <f t="shared" si="203"/>
        <v>0x48</v>
      </c>
      <c r="Z239" s="58" t="str">
        <f t="shared" si="203"/>
        <v>0x82</v>
      </c>
      <c r="AA239" s="58" t="str">
        <f t="shared" si="203"/>
        <v>0xD1</v>
      </c>
      <c r="AB239" s="58" t="str">
        <f t="shared" si="203"/>
        <v>0x46</v>
      </c>
      <c r="AC239" s="58" t="str">
        <f t="shared" si="203"/>
        <v>0x02</v>
      </c>
      <c r="AD239" s="58" t="str">
        <f t="shared" si="203"/>
        <v>0x3E</v>
      </c>
      <c r="AE239" s="58" t="str">
        <f t="shared" si="203"/>
        <v>0xD0</v>
      </c>
      <c r="AF239" s="58" t="str">
        <f t="shared" si="203"/>
        <v>0x65</v>
      </c>
      <c r="AG239" s="58" t="str">
        <f t="shared" si="203"/>
        <v>0x05</v>
      </c>
      <c r="AH239" s="58"/>
      <c r="AI239" s="58"/>
      <c r="AJ239" s="58"/>
      <c r="AK239" s="58"/>
      <c r="AL239" s="58"/>
      <c r="AM239" s="58"/>
      <c r="AN239" s="74" t="str">
        <f t="shared" si="193"/>
        <v>0xB0</v>
      </c>
    </row>
    <row r="240" hidden="1">
      <c r="A240" s="33" t="str">
        <f t="shared" si="2"/>
        <v>E911</v>
      </c>
      <c r="B240" s="34" t="str">
        <f>IFERROR(__xludf.DUMMYFUNCTION("REGEXREPLACE($H240, ""(?i)^8301(E000|E100|E200|E300)?"", """")"),"E911000F0F545158F44882D146020DD06505B0")</f>
        <v>E911000F0F545158F44882D146020DD06505B0</v>
      </c>
      <c r="C240" s="36" t="s">
        <v>484</v>
      </c>
      <c r="D240" s="36" t="s">
        <v>478</v>
      </c>
      <c r="E240" s="36" t="s">
        <v>75</v>
      </c>
      <c r="F240" s="36" t="s">
        <v>120</v>
      </c>
      <c r="G240" s="37">
        <v>46219.0</v>
      </c>
      <c r="H240" s="38" t="s">
        <v>364</v>
      </c>
      <c r="I240" s="36"/>
      <c r="J240" s="39" t="str">
        <f t="shared" si="3"/>
        <v>0x11</v>
      </c>
      <c r="K240" s="40" t="str">
        <f t="shared" si="4"/>
        <v>0x00</v>
      </c>
      <c r="L240" s="40" t="str">
        <f t="shared" si="5"/>
        <v>0x0F</v>
      </c>
      <c r="M240" s="77">
        <v>2.0</v>
      </c>
      <c r="N240" s="78" t="str">
        <f t="shared" si="189"/>
        <v>0x0F</v>
      </c>
      <c r="O240" s="72" t="str">
        <f t="shared" si="190"/>
        <v>0x54</v>
      </c>
      <c r="P240" s="72" t="str">
        <f t="shared" si="191"/>
        <v>0x51</v>
      </c>
      <c r="Q240" s="79"/>
      <c r="R240" s="80"/>
      <c r="S240" s="79"/>
      <c r="T240" s="79"/>
      <c r="U240" s="79"/>
      <c r="V240" s="81">
        <v>15.0</v>
      </c>
      <c r="W240" s="40" t="str">
        <f t="shared" si="72"/>
        <v>0x58</v>
      </c>
      <c r="X240" s="40" t="str">
        <f t="shared" ref="X240:AG240" si="204">"0x" &amp; MID($B240,$V240  + 2*(COLUMN() - COLUMN($W240)), 2)</f>
        <v>0xF4</v>
      </c>
      <c r="Y240" s="40" t="str">
        <f t="shared" si="204"/>
        <v>0x48</v>
      </c>
      <c r="Z240" s="40" t="str">
        <f t="shared" si="204"/>
        <v>0x82</v>
      </c>
      <c r="AA240" s="40" t="str">
        <f t="shared" si="204"/>
        <v>0xD1</v>
      </c>
      <c r="AB240" s="40" t="str">
        <f t="shared" si="204"/>
        <v>0x46</v>
      </c>
      <c r="AC240" s="40" t="str">
        <f t="shared" si="204"/>
        <v>0x02</v>
      </c>
      <c r="AD240" s="40" t="str">
        <f t="shared" si="204"/>
        <v>0x0D</v>
      </c>
      <c r="AE240" s="40" t="str">
        <f t="shared" si="204"/>
        <v>0xD0</v>
      </c>
      <c r="AF240" s="40" t="str">
        <f t="shared" si="204"/>
        <v>0x65</v>
      </c>
      <c r="AG240" s="40" t="str">
        <f t="shared" si="204"/>
        <v>0x05</v>
      </c>
      <c r="AH240" s="40"/>
      <c r="AI240" s="40"/>
      <c r="AJ240" s="40"/>
      <c r="AK240" s="40"/>
      <c r="AL240" s="40"/>
      <c r="AM240" s="40"/>
      <c r="AN240" s="64" t="str">
        <f t="shared" si="193"/>
        <v>0xB0</v>
      </c>
    </row>
    <row r="241" hidden="1">
      <c r="A241" s="51" t="str">
        <f t="shared" si="2"/>
        <v>E911</v>
      </c>
      <c r="B241" s="52" t="str">
        <f>IFERROR(__xludf.DUMMYFUNCTION("REGEXREPLACE($H241, ""(?i)^8301(E000|E100|E200|E300)?"", """")"),"E911001F0FB2B2B2BDBD30D037F4D246006464")</f>
        <v>E911001F0FB2B2B2BDBD30D037F4D246006464</v>
      </c>
      <c r="C241" s="65" t="s">
        <v>14</v>
      </c>
      <c r="D241" s="65" t="s">
        <v>118</v>
      </c>
      <c r="E241" s="65" t="s">
        <v>106</v>
      </c>
      <c r="F241" s="65" t="s">
        <v>107</v>
      </c>
      <c r="G241" s="67">
        <v>46220.0</v>
      </c>
      <c r="H241" s="68" t="s">
        <v>306</v>
      </c>
      <c r="I241" s="65"/>
      <c r="J241" s="57" t="str">
        <f t="shared" si="3"/>
        <v>0x11</v>
      </c>
      <c r="K241" s="58" t="str">
        <f t="shared" si="4"/>
        <v>0x00</v>
      </c>
      <c r="L241" s="58" t="str">
        <f t="shared" si="5"/>
        <v>0x1F</v>
      </c>
      <c r="M241" s="59">
        <v>5.0</v>
      </c>
      <c r="N241" s="59" t="str">
        <f t="shared" si="189"/>
        <v>0x0F</v>
      </c>
      <c r="O241" s="71" t="str">
        <f t="shared" si="190"/>
        <v>0xB2</v>
      </c>
      <c r="P241" s="71" t="str">
        <f t="shared" si="191"/>
        <v>0xB2</v>
      </c>
      <c r="Q241" s="71" t="str">
        <f t="shared" ref="Q241:Q245" si="206">"0x"&amp;MID($B241,15,2)</f>
        <v>0xB2</v>
      </c>
      <c r="R241" s="59"/>
      <c r="S241" s="71" t="str">
        <f t="shared" ref="S241:S245" si="207">"0x"&amp;MID($B241,17,2)</f>
        <v>0xBD</v>
      </c>
      <c r="T241" s="71" t="str">
        <f t="shared" ref="T241:T245" si="208">"0x"&amp;MID($B241,19,2)</f>
        <v>0xBD</v>
      </c>
      <c r="U241" s="71"/>
      <c r="V241" s="58">
        <v>21.0</v>
      </c>
      <c r="W241" s="58" t="str">
        <f t="shared" si="72"/>
        <v>0x30</v>
      </c>
      <c r="X241" s="58" t="str">
        <f t="shared" ref="X241:AE241" si="205">"0x" &amp; MID($B241,$V241  + 2*(COLUMN() - COLUMN($W241)), 2)</f>
        <v>0xD0</v>
      </c>
      <c r="Y241" s="58" t="str">
        <f t="shared" si="205"/>
        <v>0x37</v>
      </c>
      <c r="Z241" s="58" t="str">
        <f t="shared" si="205"/>
        <v>0xF4</v>
      </c>
      <c r="AA241" s="58" t="str">
        <f t="shared" si="205"/>
        <v>0xD2</v>
      </c>
      <c r="AB241" s="58" t="str">
        <f t="shared" si="205"/>
        <v>0x46</v>
      </c>
      <c r="AC241" s="58" t="str">
        <f t="shared" si="205"/>
        <v>0x00</v>
      </c>
      <c r="AD241" s="58" t="str">
        <f t="shared" si="205"/>
        <v>0x64</v>
      </c>
      <c r="AE241" s="58" t="str">
        <f t="shared" si="205"/>
        <v>0x64</v>
      </c>
      <c r="AF241" s="58"/>
      <c r="AG241" s="58"/>
      <c r="AH241" s="58"/>
      <c r="AI241" s="58"/>
      <c r="AJ241" s="58"/>
      <c r="AK241" s="58"/>
      <c r="AL241" s="58"/>
      <c r="AM241" s="58"/>
      <c r="AN241" s="88"/>
    </row>
    <row r="242" hidden="1">
      <c r="A242" s="33" t="str">
        <f t="shared" si="2"/>
        <v>E911</v>
      </c>
      <c r="B242" s="34" t="str">
        <f>IFERROR(__xludf.DUMMYFUNCTION("REGEXREPLACE($H242, ""(?i)^8301(E000|E100|E200|E300)?"", """")"),"E911001F0FB3B3B3BDBD30D037F4D246006464")</f>
        <v>E911001F0FB3B3B3BDBD30D037F4D246006464</v>
      </c>
      <c r="C242" s="36" t="s">
        <v>14</v>
      </c>
      <c r="D242" s="36" t="s">
        <v>118</v>
      </c>
      <c r="E242" s="36" t="s">
        <v>106</v>
      </c>
      <c r="F242" s="36" t="s">
        <v>107</v>
      </c>
      <c r="G242" s="37">
        <v>46220.0</v>
      </c>
      <c r="H242" s="38" t="s">
        <v>365</v>
      </c>
      <c r="I242" s="36"/>
      <c r="J242" s="39" t="str">
        <f t="shared" si="3"/>
        <v>0x11</v>
      </c>
      <c r="K242" s="40" t="str">
        <f t="shared" si="4"/>
        <v>0x00</v>
      </c>
      <c r="L242" s="40" t="str">
        <f t="shared" si="5"/>
        <v>0x1F</v>
      </c>
      <c r="M242" s="42">
        <v>5.0</v>
      </c>
      <c r="N242" s="42" t="str">
        <f t="shared" si="189"/>
        <v>0x0F</v>
      </c>
      <c r="O242" s="48" t="str">
        <f t="shared" si="190"/>
        <v>0xB3</v>
      </c>
      <c r="P242" s="48" t="str">
        <f t="shared" si="191"/>
        <v>0xB3</v>
      </c>
      <c r="Q242" s="48" t="str">
        <f t="shared" si="206"/>
        <v>0xB3</v>
      </c>
      <c r="R242" s="42"/>
      <c r="S242" s="48" t="str">
        <f t="shared" si="207"/>
        <v>0xBD</v>
      </c>
      <c r="T242" s="48" t="str">
        <f t="shared" si="208"/>
        <v>0xBD</v>
      </c>
      <c r="U242" s="48"/>
      <c r="V242" s="40">
        <v>21.0</v>
      </c>
      <c r="W242" s="40" t="str">
        <f t="shared" si="72"/>
        <v>0x30</v>
      </c>
      <c r="X242" s="40" t="str">
        <f t="shared" ref="X242:AE242" si="209">"0x" &amp; MID($B242,$V242  + 2*(COLUMN() - COLUMN($W242)), 2)</f>
        <v>0xD0</v>
      </c>
      <c r="Y242" s="40" t="str">
        <f t="shared" si="209"/>
        <v>0x37</v>
      </c>
      <c r="Z242" s="40" t="str">
        <f t="shared" si="209"/>
        <v>0xF4</v>
      </c>
      <c r="AA242" s="40" t="str">
        <f t="shared" si="209"/>
        <v>0xD2</v>
      </c>
      <c r="AB242" s="40" t="str">
        <f t="shared" si="209"/>
        <v>0x46</v>
      </c>
      <c r="AC242" s="40" t="str">
        <f t="shared" si="209"/>
        <v>0x00</v>
      </c>
      <c r="AD242" s="40" t="str">
        <f t="shared" si="209"/>
        <v>0x64</v>
      </c>
      <c r="AE242" s="40" t="str">
        <f t="shared" si="209"/>
        <v>0x64</v>
      </c>
      <c r="AF242" s="40"/>
      <c r="AG242" s="40"/>
      <c r="AH242" s="40"/>
      <c r="AI242" s="40"/>
      <c r="AJ242" s="40"/>
      <c r="AK242" s="40"/>
      <c r="AL242" s="40"/>
      <c r="AM242" s="40"/>
      <c r="AN242" s="75"/>
    </row>
    <row r="243" hidden="1">
      <c r="A243" s="51" t="str">
        <f t="shared" si="2"/>
        <v>E911</v>
      </c>
      <c r="B243" s="52" t="str">
        <f>IFERROR(__xludf.DUMMYFUNCTION("REGEXREPLACE($H243, ""(?i)^8301(E000|E100|E200|E300)?"", """")"),"E911001F0FB5B5B5BDBD30D037F4D246006464")</f>
        <v>E911001F0FB5B5B5BDBD30D037F4D246006464</v>
      </c>
      <c r="C243" s="65" t="s">
        <v>14</v>
      </c>
      <c r="D243" s="65" t="s">
        <v>118</v>
      </c>
      <c r="E243" s="65" t="s">
        <v>106</v>
      </c>
      <c r="F243" s="65" t="s">
        <v>107</v>
      </c>
      <c r="G243" s="67">
        <v>46220.0</v>
      </c>
      <c r="H243" s="68" t="s">
        <v>366</v>
      </c>
      <c r="I243" s="65"/>
      <c r="J243" s="57" t="str">
        <f t="shared" si="3"/>
        <v>0x11</v>
      </c>
      <c r="K243" s="58" t="str">
        <f t="shared" si="4"/>
        <v>0x00</v>
      </c>
      <c r="L243" s="58" t="str">
        <f t="shared" si="5"/>
        <v>0x1F</v>
      </c>
      <c r="M243" s="59">
        <v>5.0</v>
      </c>
      <c r="N243" s="59" t="str">
        <f t="shared" si="189"/>
        <v>0x0F</v>
      </c>
      <c r="O243" s="71" t="str">
        <f t="shared" si="190"/>
        <v>0xB5</v>
      </c>
      <c r="P243" s="71" t="str">
        <f t="shared" si="191"/>
        <v>0xB5</v>
      </c>
      <c r="Q243" s="71" t="str">
        <f t="shared" si="206"/>
        <v>0xB5</v>
      </c>
      <c r="R243" s="59"/>
      <c r="S243" s="71" t="str">
        <f t="shared" si="207"/>
        <v>0xBD</v>
      </c>
      <c r="T243" s="71" t="str">
        <f t="shared" si="208"/>
        <v>0xBD</v>
      </c>
      <c r="U243" s="71"/>
      <c r="V243" s="58">
        <v>21.0</v>
      </c>
      <c r="W243" s="58" t="str">
        <f t="shared" si="72"/>
        <v>0x30</v>
      </c>
      <c r="X243" s="58" t="str">
        <f t="shared" ref="X243:AE243" si="210">"0x" &amp; MID($B243,$V243  + 2*(COLUMN() - COLUMN($W243)), 2)</f>
        <v>0xD0</v>
      </c>
      <c r="Y243" s="58" t="str">
        <f t="shared" si="210"/>
        <v>0x37</v>
      </c>
      <c r="Z243" s="58" t="str">
        <f t="shared" si="210"/>
        <v>0xF4</v>
      </c>
      <c r="AA243" s="58" t="str">
        <f t="shared" si="210"/>
        <v>0xD2</v>
      </c>
      <c r="AB243" s="58" t="str">
        <f t="shared" si="210"/>
        <v>0x46</v>
      </c>
      <c r="AC243" s="58" t="str">
        <f t="shared" si="210"/>
        <v>0x00</v>
      </c>
      <c r="AD243" s="58" t="str">
        <f t="shared" si="210"/>
        <v>0x64</v>
      </c>
      <c r="AE243" s="58" t="str">
        <f t="shared" si="210"/>
        <v>0x64</v>
      </c>
      <c r="AF243" s="58"/>
      <c r="AG243" s="58"/>
      <c r="AH243" s="58"/>
      <c r="AI243" s="58"/>
      <c r="AJ243" s="58"/>
      <c r="AK243" s="58"/>
      <c r="AL243" s="58"/>
      <c r="AM243" s="58"/>
      <c r="AN243" s="88"/>
    </row>
    <row r="244" hidden="1">
      <c r="A244" s="33" t="str">
        <f t="shared" si="2"/>
        <v>E911</v>
      </c>
      <c r="B244" s="34" t="str">
        <f>IFERROR(__xludf.DUMMYFUNCTION("REGEXREPLACE($H244, ""(?i)^8301(E000|E100|E200|E300)?"", """")"),"E911001F0FB6B6B6BDBD30D037F4D246006464")</f>
        <v>E911001F0FB6B6B6BDBD30D037F4D246006464</v>
      </c>
      <c r="C244" s="36" t="s">
        <v>14</v>
      </c>
      <c r="D244" s="36" t="s">
        <v>118</v>
      </c>
      <c r="E244" s="36" t="s">
        <v>106</v>
      </c>
      <c r="F244" s="36" t="s">
        <v>107</v>
      </c>
      <c r="G244" s="37">
        <v>46220.0</v>
      </c>
      <c r="H244" s="38" t="s">
        <v>367</v>
      </c>
      <c r="I244" s="36"/>
      <c r="J244" s="39" t="str">
        <f t="shared" si="3"/>
        <v>0x11</v>
      </c>
      <c r="K244" s="40" t="str">
        <f t="shared" si="4"/>
        <v>0x00</v>
      </c>
      <c r="L244" s="40" t="str">
        <f t="shared" si="5"/>
        <v>0x1F</v>
      </c>
      <c r="M244" s="42">
        <v>5.0</v>
      </c>
      <c r="N244" s="42" t="str">
        <f t="shared" si="189"/>
        <v>0x0F</v>
      </c>
      <c r="O244" s="48" t="str">
        <f t="shared" si="190"/>
        <v>0xB6</v>
      </c>
      <c r="P244" s="48" t="str">
        <f t="shared" si="191"/>
        <v>0xB6</v>
      </c>
      <c r="Q244" s="48" t="str">
        <f t="shared" si="206"/>
        <v>0xB6</v>
      </c>
      <c r="R244" s="42"/>
      <c r="S244" s="48" t="str">
        <f t="shared" si="207"/>
        <v>0xBD</v>
      </c>
      <c r="T244" s="48" t="str">
        <f t="shared" si="208"/>
        <v>0xBD</v>
      </c>
      <c r="U244" s="48"/>
      <c r="V244" s="40">
        <v>21.0</v>
      </c>
      <c r="W244" s="40" t="str">
        <f t="shared" si="72"/>
        <v>0x30</v>
      </c>
      <c r="X244" s="40" t="str">
        <f t="shared" ref="X244:AE244" si="211">"0x" &amp; MID($B244,$V244  + 2*(COLUMN() - COLUMN($W244)), 2)</f>
        <v>0xD0</v>
      </c>
      <c r="Y244" s="40" t="str">
        <f t="shared" si="211"/>
        <v>0x37</v>
      </c>
      <c r="Z244" s="40" t="str">
        <f t="shared" si="211"/>
        <v>0xF4</v>
      </c>
      <c r="AA244" s="40" t="str">
        <f t="shared" si="211"/>
        <v>0xD2</v>
      </c>
      <c r="AB244" s="40" t="str">
        <f t="shared" si="211"/>
        <v>0x46</v>
      </c>
      <c r="AC244" s="40" t="str">
        <f t="shared" si="211"/>
        <v>0x00</v>
      </c>
      <c r="AD244" s="40" t="str">
        <f t="shared" si="211"/>
        <v>0x64</v>
      </c>
      <c r="AE244" s="40" t="str">
        <f t="shared" si="211"/>
        <v>0x64</v>
      </c>
      <c r="AF244" s="40"/>
      <c r="AG244" s="40"/>
      <c r="AH244" s="40"/>
      <c r="AI244" s="40"/>
      <c r="AJ244" s="40"/>
      <c r="AK244" s="40"/>
      <c r="AL244" s="40"/>
      <c r="AM244" s="40"/>
      <c r="AN244" s="75"/>
    </row>
    <row r="245" hidden="1">
      <c r="A245" s="51" t="str">
        <f t="shared" si="2"/>
        <v>E911</v>
      </c>
      <c r="B245" s="52" t="str">
        <f>IFERROR(__xludf.DUMMYFUNCTION("REGEXREPLACE($H245, ""(?i)^8301(E000|E100|E200|E300)?"", """")"),"E911001F0FBCBCBCBDBD30D037F4D246006464")</f>
        <v>E911001F0FBCBCBCBDBD30D037F4D246006464</v>
      </c>
      <c r="C245" s="65" t="s">
        <v>14</v>
      </c>
      <c r="D245" s="65" t="s">
        <v>532</v>
      </c>
      <c r="E245" s="65" t="s">
        <v>106</v>
      </c>
      <c r="F245" s="65" t="s">
        <v>107</v>
      </c>
      <c r="G245" s="67">
        <v>46220.0</v>
      </c>
      <c r="H245" s="68" t="s">
        <v>368</v>
      </c>
      <c r="I245" s="65"/>
      <c r="J245" s="57" t="str">
        <f t="shared" si="3"/>
        <v>0x11</v>
      </c>
      <c r="K245" s="58" t="str">
        <f t="shared" si="4"/>
        <v>0x00</v>
      </c>
      <c r="L245" s="58" t="str">
        <f t="shared" si="5"/>
        <v>0x1F</v>
      </c>
      <c r="M245" s="59">
        <v>5.0</v>
      </c>
      <c r="N245" s="59" t="str">
        <f t="shared" si="189"/>
        <v>0x0F</v>
      </c>
      <c r="O245" s="71" t="str">
        <f t="shared" si="190"/>
        <v>0xBC</v>
      </c>
      <c r="P245" s="71" t="str">
        <f t="shared" si="191"/>
        <v>0xBC</v>
      </c>
      <c r="Q245" s="71" t="str">
        <f t="shared" si="206"/>
        <v>0xBC</v>
      </c>
      <c r="R245" s="59"/>
      <c r="S245" s="71" t="str">
        <f t="shared" si="207"/>
        <v>0xBD</v>
      </c>
      <c r="T245" s="71" t="str">
        <f t="shared" si="208"/>
        <v>0xBD</v>
      </c>
      <c r="U245" s="71"/>
      <c r="V245" s="58">
        <v>21.0</v>
      </c>
      <c r="W245" s="58" t="str">
        <f t="shared" si="72"/>
        <v>0x30</v>
      </c>
      <c r="X245" s="58" t="str">
        <f t="shared" ref="X245:AE245" si="212">"0x" &amp; MID($B245,$V245  + 2*(COLUMN() - COLUMN($W245)), 2)</f>
        <v>0xD0</v>
      </c>
      <c r="Y245" s="58" t="str">
        <f t="shared" si="212"/>
        <v>0x37</v>
      </c>
      <c r="Z245" s="58" t="str">
        <f t="shared" si="212"/>
        <v>0xF4</v>
      </c>
      <c r="AA245" s="58" t="str">
        <f t="shared" si="212"/>
        <v>0xD2</v>
      </c>
      <c r="AB245" s="58" t="str">
        <f t="shared" si="212"/>
        <v>0x46</v>
      </c>
      <c r="AC245" s="58" t="str">
        <f t="shared" si="212"/>
        <v>0x00</v>
      </c>
      <c r="AD245" s="58" t="str">
        <f t="shared" si="212"/>
        <v>0x64</v>
      </c>
      <c r="AE245" s="58" t="str">
        <f t="shared" si="212"/>
        <v>0x64</v>
      </c>
      <c r="AF245" s="58"/>
      <c r="AG245" s="58"/>
      <c r="AH245" s="58"/>
      <c r="AI245" s="58"/>
      <c r="AJ245" s="58"/>
      <c r="AK245" s="58"/>
      <c r="AL245" s="58"/>
      <c r="AM245" s="58"/>
      <c r="AN245" s="88"/>
    </row>
    <row r="246" hidden="1">
      <c r="A246" s="33" t="str">
        <f t="shared" si="2"/>
        <v>E911</v>
      </c>
      <c r="B246" s="34" t="str">
        <f>IFERROR(__xludf.DUMMYFUNCTION("REGEXREPLACE($H246, ""(?i)^8301(E000|E100|E200|E300)?"", """")"),"E911002A0F5D5358F44882D1460602D06543B0")</f>
        <v>E911002A0F5D5358F44882D1460602D06543B0</v>
      </c>
      <c r="C246" s="36" t="s">
        <v>477</v>
      </c>
      <c r="D246" s="36" t="s">
        <v>488</v>
      </c>
      <c r="E246" s="36" t="s">
        <v>75</v>
      </c>
      <c r="F246" s="36" t="s">
        <v>76</v>
      </c>
      <c r="G246" s="37">
        <v>46208.0</v>
      </c>
      <c r="H246" s="38" t="s">
        <v>369</v>
      </c>
      <c r="I246" s="36"/>
      <c r="J246" s="39" t="str">
        <f t="shared" si="3"/>
        <v>0x11</v>
      </c>
      <c r="K246" s="40" t="str">
        <f t="shared" si="4"/>
        <v>0x00</v>
      </c>
      <c r="L246" s="40" t="str">
        <f t="shared" si="5"/>
        <v>0x2A</v>
      </c>
      <c r="M246" s="77">
        <v>2.0</v>
      </c>
      <c r="N246" s="78" t="str">
        <f t="shared" si="189"/>
        <v>0x0F</v>
      </c>
      <c r="O246" s="72" t="str">
        <f t="shared" si="190"/>
        <v>0x5D</v>
      </c>
      <c r="P246" s="72" t="str">
        <f t="shared" si="191"/>
        <v>0x53</v>
      </c>
      <c r="Q246" s="79"/>
      <c r="R246" s="80"/>
      <c r="S246" s="79"/>
      <c r="T246" s="79"/>
      <c r="U246" s="79"/>
      <c r="V246" s="81">
        <v>15.0</v>
      </c>
      <c r="W246" s="40" t="str">
        <f t="shared" si="72"/>
        <v>0x58</v>
      </c>
      <c r="X246" s="40" t="str">
        <f t="shared" ref="X246:AG246" si="213">"0x" &amp; MID($B246,$V246  + 2*(COLUMN() - COLUMN($W246)), 2)</f>
        <v>0xF4</v>
      </c>
      <c r="Y246" s="40" t="str">
        <f t="shared" si="213"/>
        <v>0x48</v>
      </c>
      <c r="Z246" s="40" t="str">
        <f t="shared" si="213"/>
        <v>0x82</v>
      </c>
      <c r="AA246" s="40" t="str">
        <f t="shared" si="213"/>
        <v>0xD1</v>
      </c>
      <c r="AB246" s="40" t="str">
        <f t="shared" si="213"/>
        <v>0x46</v>
      </c>
      <c r="AC246" s="40" t="str">
        <f t="shared" si="213"/>
        <v>0x06</v>
      </c>
      <c r="AD246" s="40" t="str">
        <f t="shared" si="213"/>
        <v>0x02</v>
      </c>
      <c r="AE246" s="40" t="str">
        <f t="shared" si="213"/>
        <v>0xD0</v>
      </c>
      <c r="AF246" s="40" t="str">
        <f t="shared" si="213"/>
        <v>0x65</v>
      </c>
      <c r="AG246" s="40" t="str">
        <f t="shared" si="213"/>
        <v>0x43</v>
      </c>
      <c r="AH246" s="40"/>
      <c r="AI246" s="40"/>
      <c r="AJ246" s="40"/>
      <c r="AK246" s="40"/>
      <c r="AL246" s="40"/>
      <c r="AM246" s="40"/>
      <c r="AN246" s="64" t="str">
        <f t="shared" ref="AN246:AN274" si="215">"0x"&amp;MID($B246,37,2)</f>
        <v>0xB0</v>
      </c>
    </row>
    <row r="247" hidden="1">
      <c r="A247" s="51" t="str">
        <f t="shared" si="2"/>
        <v>E911</v>
      </c>
      <c r="B247" s="52" t="str">
        <f>IFERROR(__xludf.DUMMYFUNCTION("REGEXREPLACE($H247, ""(?i)^8301(E000|E100|E200|E300)?"", """")"),"E911002F0F444F58F44882D146090DD06519B0")</f>
        <v>E911002F0F444F58F44882D146090DD06519B0</v>
      </c>
      <c r="C247" s="65" t="s">
        <v>14</v>
      </c>
      <c r="D247" s="65" t="s">
        <v>533</v>
      </c>
      <c r="E247" s="65" t="s">
        <v>75</v>
      </c>
      <c r="F247" s="65" t="s">
        <v>76</v>
      </c>
      <c r="G247" s="67">
        <v>46208.0</v>
      </c>
      <c r="H247" s="68" t="s">
        <v>266</v>
      </c>
      <c r="I247" s="65"/>
      <c r="J247" s="57" t="str">
        <f t="shared" si="3"/>
        <v>0x11</v>
      </c>
      <c r="K247" s="58" t="str">
        <f t="shared" si="4"/>
        <v>0x00</v>
      </c>
      <c r="L247" s="58" t="str">
        <f t="shared" si="5"/>
        <v>0x2F</v>
      </c>
      <c r="M247" s="82">
        <v>2.0</v>
      </c>
      <c r="N247" s="83" t="str">
        <f t="shared" si="189"/>
        <v>0x0F</v>
      </c>
      <c r="O247" s="84" t="str">
        <f t="shared" si="190"/>
        <v>0x44</v>
      </c>
      <c r="P247" s="84" t="str">
        <f t="shared" si="191"/>
        <v>0x4F</v>
      </c>
      <c r="Q247" s="85"/>
      <c r="R247" s="86"/>
      <c r="S247" s="85"/>
      <c r="T247" s="85"/>
      <c r="U247" s="85"/>
      <c r="V247" s="87">
        <v>15.0</v>
      </c>
      <c r="W247" s="58" t="str">
        <f t="shared" si="72"/>
        <v>0x58</v>
      </c>
      <c r="X247" s="58" t="str">
        <f t="shared" ref="X247:AG247" si="214">"0x" &amp; MID($B247,$V247  + 2*(COLUMN() - COLUMN($W247)), 2)</f>
        <v>0xF4</v>
      </c>
      <c r="Y247" s="58" t="str">
        <f t="shared" si="214"/>
        <v>0x48</v>
      </c>
      <c r="Z247" s="58" t="str">
        <f t="shared" si="214"/>
        <v>0x82</v>
      </c>
      <c r="AA247" s="58" t="str">
        <f t="shared" si="214"/>
        <v>0xD1</v>
      </c>
      <c r="AB247" s="58" t="str">
        <f t="shared" si="214"/>
        <v>0x46</v>
      </c>
      <c r="AC247" s="58" t="str">
        <f t="shared" si="214"/>
        <v>0x09</v>
      </c>
      <c r="AD247" s="58" t="str">
        <f t="shared" si="214"/>
        <v>0x0D</v>
      </c>
      <c r="AE247" s="58" t="str">
        <f t="shared" si="214"/>
        <v>0xD0</v>
      </c>
      <c r="AF247" s="58" t="str">
        <f t="shared" si="214"/>
        <v>0x65</v>
      </c>
      <c r="AG247" s="58" t="str">
        <f t="shared" si="214"/>
        <v>0x19</v>
      </c>
      <c r="AH247" s="58"/>
      <c r="AI247" s="58"/>
      <c r="AJ247" s="58"/>
      <c r="AK247" s="58"/>
      <c r="AL247" s="58"/>
      <c r="AM247" s="58"/>
      <c r="AN247" s="74" t="str">
        <f t="shared" si="215"/>
        <v>0xB0</v>
      </c>
    </row>
    <row r="248" hidden="1">
      <c r="A248" s="33" t="str">
        <f t="shared" si="2"/>
        <v>E911</v>
      </c>
      <c r="B248" s="34" t="str">
        <f>IFERROR(__xludf.DUMMYFUNCTION("REGEXREPLACE($H248, ""(?i)^8301(E000|E100|E200|E300)?"", """")"),"E911002F0F594758F44882D146090DD06519B0")</f>
        <v>E911002F0F594758F44882D146090DD06519B0</v>
      </c>
      <c r="C248" s="36" t="s">
        <v>14</v>
      </c>
      <c r="D248" s="36" t="s">
        <v>533</v>
      </c>
      <c r="E248" s="36" t="s">
        <v>75</v>
      </c>
      <c r="F248" s="36" t="s">
        <v>76</v>
      </c>
      <c r="G248" s="37">
        <v>46219.0</v>
      </c>
      <c r="H248" s="38" t="s">
        <v>370</v>
      </c>
      <c r="I248" s="36"/>
      <c r="J248" s="39" t="str">
        <f t="shared" si="3"/>
        <v>0x11</v>
      </c>
      <c r="K248" s="40" t="str">
        <f t="shared" si="4"/>
        <v>0x00</v>
      </c>
      <c r="L248" s="40" t="str">
        <f t="shared" si="5"/>
        <v>0x2F</v>
      </c>
      <c r="M248" s="77">
        <v>2.0</v>
      </c>
      <c r="N248" s="78" t="str">
        <f t="shared" si="189"/>
        <v>0x0F</v>
      </c>
      <c r="O248" s="72" t="str">
        <f t="shared" si="190"/>
        <v>0x59</v>
      </c>
      <c r="P248" s="72" t="str">
        <f t="shared" si="191"/>
        <v>0x47</v>
      </c>
      <c r="Q248" s="79"/>
      <c r="R248" s="80"/>
      <c r="S248" s="79"/>
      <c r="T248" s="79"/>
      <c r="U248" s="79"/>
      <c r="V248" s="81">
        <v>15.0</v>
      </c>
      <c r="W248" s="40" t="str">
        <f t="shared" si="72"/>
        <v>0x58</v>
      </c>
      <c r="X248" s="40" t="str">
        <f t="shared" ref="X248:AG248" si="216">"0x" &amp; MID($B248,$V248  + 2*(COLUMN() - COLUMN($W248)), 2)</f>
        <v>0xF4</v>
      </c>
      <c r="Y248" s="40" t="str">
        <f t="shared" si="216"/>
        <v>0x48</v>
      </c>
      <c r="Z248" s="40" t="str">
        <f t="shared" si="216"/>
        <v>0x82</v>
      </c>
      <c r="AA248" s="40" t="str">
        <f t="shared" si="216"/>
        <v>0xD1</v>
      </c>
      <c r="AB248" s="40" t="str">
        <f t="shared" si="216"/>
        <v>0x46</v>
      </c>
      <c r="AC248" s="40" t="str">
        <f t="shared" si="216"/>
        <v>0x09</v>
      </c>
      <c r="AD248" s="40" t="str">
        <f t="shared" si="216"/>
        <v>0x0D</v>
      </c>
      <c r="AE248" s="40" t="str">
        <f t="shared" si="216"/>
        <v>0xD0</v>
      </c>
      <c r="AF248" s="40" t="str">
        <f t="shared" si="216"/>
        <v>0x65</v>
      </c>
      <c r="AG248" s="40" t="str">
        <f t="shared" si="216"/>
        <v>0x19</v>
      </c>
      <c r="AH248" s="40"/>
      <c r="AI248" s="40"/>
      <c r="AJ248" s="40"/>
      <c r="AK248" s="40"/>
      <c r="AL248" s="40"/>
      <c r="AM248" s="40"/>
      <c r="AN248" s="64" t="str">
        <f t="shared" si="215"/>
        <v>0xB0</v>
      </c>
    </row>
    <row r="249" hidden="1">
      <c r="A249" s="51" t="str">
        <f t="shared" si="2"/>
        <v>E911</v>
      </c>
      <c r="B249" s="52" t="str">
        <f>IFERROR(__xludf.DUMMYFUNCTION("REGEXREPLACE($H249, ""(?i)^8301(E000|E100|E200|E300)?"", """")"),"E911002F0F5B4858F44882D146090DD06519B0")</f>
        <v>E911002F0F5B4858F44882D146090DD06519B0</v>
      </c>
      <c r="C249" s="65" t="s">
        <v>14</v>
      </c>
      <c r="D249" s="65" t="s">
        <v>533</v>
      </c>
      <c r="E249" s="54" t="s">
        <v>75</v>
      </c>
      <c r="F249" s="54" t="s">
        <v>76</v>
      </c>
      <c r="G249" s="55">
        <v>46235.0</v>
      </c>
      <c r="H249" s="56" t="s">
        <v>371</v>
      </c>
      <c r="I249" s="65"/>
      <c r="J249" s="57" t="str">
        <f t="shared" si="3"/>
        <v>0x11</v>
      </c>
      <c r="K249" s="58" t="str">
        <f t="shared" si="4"/>
        <v>0x00</v>
      </c>
      <c r="L249" s="58" t="str">
        <f t="shared" si="5"/>
        <v>0x2F</v>
      </c>
      <c r="M249" s="82">
        <v>2.0</v>
      </c>
      <c r="N249" s="83" t="str">
        <f t="shared" si="189"/>
        <v>0x0F</v>
      </c>
      <c r="O249" s="84" t="str">
        <f t="shared" si="190"/>
        <v>0x5B</v>
      </c>
      <c r="P249" s="84" t="str">
        <f t="shared" si="191"/>
        <v>0x48</v>
      </c>
      <c r="Q249" s="85"/>
      <c r="R249" s="86"/>
      <c r="S249" s="85"/>
      <c r="T249" s="85"/>
      <c r="U249" s="85"/>
      <c r="V249" s="87">
        <v>15.0</v>
      </c>
      <c r="W249" s="58" t="str">
        <f t="shared" si="72"/>
        <v>0x58</v>
      </c>
      <c r="X249" s="58" t="str">
        <f t="shared" ref="X249:AG249" si="217">"0x" &amp; MID($B249,$V249  + 2*(COLUMN() - COLUMN($W249)), 2)</f>
        <v>0xF4</v>
      </c>
      <c r="Y249" s="58" t="str">
        <f t="shared" si="217"/>
        <v>0x48</v>
      </c>
      <c r="Z249" s="58" t="str">
        <f t="shared" si="217"/>
        <v>0x82</v>
      </c>
      <c r="AA249" s="58" t="str">
        <f t="shared" si="217"/>
        <v>0xD1</v>
      </c>
      <c r="AB249" s="58" t="str">
        <f t="shared" si="217"/>
        <v>0x46</v>
      </c>
      <c r="AC249" s="58" t="str">
        <f t="shared" si="217"/>
        <v>0x09</v>
      </c>
      <c r="AD249" s="58" t="str">
        <f t="shared" si="217"/>
        <v>0x0D</v>
      </c>
      <c r="AE249" s="58" t="str">
        <f t="shared" si="217"/>
        <v>0xD0</v>
      </c>
      <c r="AF249" s="58" t="str">
        <f t="shared" si="217"/>
        <v>0x65</v>
      </c>
      <c r="AG249" s="58" t="str">
        <f t="shared" si="217"/>
        <v>0x19</v>
      </c>
      <c r="AH249" s="58"/>
      <c r="AI249" s="58"/>
      <c r="AJ249" s="58"/>
      <c r="AK249" s="58"/>
      <c r="AL249" s="58"/>
      <c r="AM249" s="58"/>
      <c r="AN249" s="74" t="str">
        <f t="shared" si="215"/>
        <v>0xB0</v>
      </c>
    </row>
    <row r="250" hidden="1">
      <c r="A250" s="33" t="str">
        <f t="shared" si="2"/>
        <v>E911</v>
      </c>
      <c r="B250" s="34" t="str">
        <f>IFERROR(__xludf.DUMMYFUNCTION("REGEXREPLACE($H250, ""(?i)^8301(E000|E100|E200|E300)?"", """")"),"E91100440F475558F44882D1460607D06536B0")</f>
        <v>E91100440F475558F44882D1460607D06536B0</v>
      </c>
      <c r="C250" s="36" t="s">
        <v>484</v>
      </c>
      <c r="D250" s="36" t="s">
        <v>492</v>
      </c>
      <c r="E250" s="36" t="s">
        <v>129</v>
      </c>
      <c r="F250" s="36" t="s">
        <v>137</v>
      </c>
      <c r="G250" s="37">
        <v>46207.0</v>
      </c>
      <c r="H250" s="44" t="s">
        <v>372</v>
      </c>
      <c r="I250" s="36"/>
      <c r="J250" s="39" t="str">
        <f t="shared" si="3"/>
        <v>0x11</v>
      </c>
      <c r="K250" s="40" t="str">
        <f t="shared" si="4"/>
        <v>0x00</v>
      </c>
      <c r="L250" s="40" t="str">
        <f t="shared" si="5"/>
        <v>0x44</v>
      </c>
      <c r="M250" s="77">
        <v>2.0</v>
      </c>
      <c r="N250" s="78" t="str">
        <f t="shared" si="189"/>
        <v>0x0F</v>
      </c>
      <c r="O250" s="72" t="str">
        <f t="shared" si="190"/>
        <v>0x47</v>
      </c>
      <c r="P250" s="72" t="str">
        <f t="shared" si="191"/>
        <v>0x55</v>
      </c>
      <c r="Q250" s="79"/>
      <c r="R250" s="80"/>
      <c r="S250" s="79"/>
      <c r="T250" s="79"/>
      <c r="U250" s="79"/>
      <c r="V250" s="81">
        <v>15.0</v>
      </c>
      <c r="W250" s="40" t="str">
        <f t="shared" si="72"/>
        <v>0x58</v>
      </c>
      <c r="X250" s="40" t="str">
        <f t="shared" ref="X250:AG250" si="218">"0x" &amp; MID($B250,$V250  + 2*(COLUMN() - COLUMN($W250)), 2)</f>
        <v>0xF4</v>
      </c>
      <c r="Y250" s="40" t="str">
        <f t="shared" si="218"/>
        <v>0x48</v>
      </c>
      <c r="Z250" s="40" t="str">
        <f t="shared" si="218"/>
        <v>0x82</v>
      </c>
      <c r="AA250" s="40" t="str">
        <f t="shared" si="218"/>
        <v>0xD1</v>
      </c>
      <c r="AB250" s="40" t="str">
        <f t="shared" si="218"/>
        <v>0x46</v>
      </c>
      <c r="AC250" s="40" t="str">
        <f t="shared" si="218"/>
        <v>0x06</v>
      </c>
      <c r="AD250" s="40" t="str">
        <f t="shared" si="218"/>
        <v>0x07</v>
      </c>
      <c r="AE250" s="40" t="str">
        <f t="shared" si="218"/>
        <v>0xD0</v>
      </c>
      <c r="AF250" s="40" t="str">
        <f t="shared" si="218"/>
        <v>0x65</v>
      </c>
      <c r="AG250" s="40" t="str">
        <f t="shared" si="218"/>
        <v>0x36</v>
      </c>
      <c r="AH250" s="40"/>
      <c r="AI250" s="40"/>
      <c r="AJ250" s="40"/>
      <c r="AK250" s="40"/>
      <c r="AL250" s="40"/>
      <c r="AM250" s="40"/>
      <c r="AN250" s="64" t="str">
        <f t="shared" si="215"/>
        <v>0xB0</v>
      </c>
    </row>
    <row r="251" hidden="1">
      <c r="A251" s="51" t="str">
        <f t="shared" si="2"/>
        <v>E911</v>
      </c>
      <c r="B251" s="52" t="str">
        <f>IFERROR(__xludf.DUMMYFUNCTION("REGEXREPLACE($H251, ""(?i)^8301(E000|E100|E200|E300)?"", """")"),"E91100440F5B5D58F44882D146050FD06500B0")</f>
        <v>E91100440F5B5D58F44882D146050FD06500B0</v>
      </c>
      <c r="C251" s="65" t="s">
        <v>484</v>
      </c>
      <c r="D251" s="65" t="s">
        <v>478</v>
      </c>
      <c r="E251" s="65" t="s">
        <v>129</v>
      </c>
      <c r="F251" s="65" t="s">
        <v>137</v>
      </c>
      <c r="G251" s="67">
        <v>46207.0</v>
      </c>
      <c r="H251" s="56" t="s">
        <v>373</v>
      </c>
      <c r="I251" s="65"/>
      <c r="J251" s="57" t="str">
        <f t="shared" si="3"/>
        <v>0x11</v>
      </c>
      <c r="K251" s="58" t="str">
        <f t="shared" si="4"/>
        <v>0x00</v>
      </c>
      <c r="L251" s="58" t="str">
        <f t="shared" si="5"/>
        <v>0x44</v>
      </c>
      <c r="M251" s="82">
        <v>2.0</v>
      </c>
      <c r="N251" s="83" t="str">
        <f t="shared" si="189"/>
        <v>0x0F</v>
      </c>
      <c r="O251" s="84" t="str">
        <f t="shared" si="190"/>
        <v>0x5B</v>
      </c>
      <c r="P251" s="84" t="str">
        <f t="shared" si="191"/>
        <v>0x5D</v>
      </c>
      <c r="Q251" s="85"/>
      <c r="R251" s="86"/>
      <c r="S251" s="85"/>
      <c r="T251" s="85"/>
      <c r="U251" s="85"/>
      <c r="V251" s="87">
        <v>15.0</v>
      </c>
      <c r="W251" s="58" t="str">
        <f t="shared" si="72"/>
        <v>0x58</v>
      </c>
      <c r="X251" s="58" t="str">
        <f t="shared" ref="X251:AG251" si="219">"0x" &amp; MID($B251,$V251  + 2*(COLUMN() - COLUMN($W251)), 2)</f>
        <v>0xF4</v>
      </c>
      <c r="Y251" s="58" t="str">
        <f t="shared" si="219"/>
        <v>0x48</v>
      </c>
      <c r="Z251" s="58" t="str">
        <f t="shared" si="219"/>
        <v>0x82</v>
      </c>
      <c r="AA251" s="58" t="str">
        <f t="shared" si="219"/>
        <v>0xD1</v>
      </c>
      <c r="AB251" s="58" t="str">
        <f t="shared" si="219"/>
        <v>0x46</v>
      </c>
      <c r="AC251" s="58" t="str">
        <f t="shared" si="219"/>
        <v>0x05</v>
      </c>
      <c r="AD251" s="58" t="str">
        <f t="shared" si="219"/>
        <v>0x0F</v>
      </c>
      <c r="AE251" s="58" t="str">
        <f t="shared" si="219"/>
        <v>0xD0</v>
      </c>
      <c r="AF251" s="58" t="str">
        <f t="shared" si="219"/>
        <v>0x65</v>
      </c>
      <c r="AG251" s="58" t="str">
        <f t="shared" si="219"/>
        <v>0x00</v>
      </c>
      <c r="AH251" s="58"/>
      <c r="AI251" s="58"/>
      <c r="AJ251" s="58"/>
      <c r="AK251" s="58"/>
      <c r="AL251" s="58"/>
      <c r="AM251" s="58"/>
      <c r="AN251" s="74" t="str">
        <f t="shared" si="215"/>
        <v>0xB0</v>
      </c>
    </row>
    <row r="252" hidden="1">
      <c r="A252" s="33" t="str">
        <f t="shared" si="2"/>
        <v>E911</v>
      </c>
      <c r="B252" s="34" t="str">
        <f>IFERROR(__xludf.DUMMYFUNCTION("REGEXREPLACE($H252, ""(?i)^8301(E000|E100|E200|E300)?"", """")"),"E91100480F43485BF0403F374894D13D051EB0")</f>
        <v>E91100480F43485BF0403F374894D13D051EB0</v>
      </c>
      <c r="C252" s="36" t="s">
        <v>30</v>
      </c>
      <c r="D252" s="36" t="s">
        <v>478</v>
      </c>
      <c r="E252" s="36" t="s">
        <v>129</v>
      </c>
      <c r="F252" s="36" t="s">
        <v>137</v>
      </c>
      <c r="G252" s="37">
        <v>46207.0</v>
      </c>
      <c r="H252" s="44" t="s">
        <v>374</v>
      </c>
      <c r="I252" s="36" t="s">
        <v>153</v>
      </c>
      <c r="J252" s="39" t="str">
        <f t="shared" si="3"/>
        <v>0x11</v>
      </c>
      <c r="K252" s="40" t="str">
        <f t="shared" si="4"/>
        <v>0x00</v>
      </c>
      <c r="L252" s="40" t="str">
        <f t="shared" si="5"/>
        <v>0x48</v>
      </c>
      <c r="M252" s="77">
        <v>2.0</v>
      </c>
      <c r="N252" s="78" t="str">
        <f t="shared" si="189"/>
        <v>0x0F</v>
      </c>
      <c r="O252" s="72" t="str">
        <f t="shared" si="190"/>
        <v>0x43</v>
      </c>
      <c r="P252" s="72" t="str">
        <f t="shared" si="191"/>
        <v>0x48</v>
      </c>
      <c r="Q252" s="79"/>
      <c r="R252" s="80"/>
      <c r="S252" s="79"/>
      <c r="T252" s="79"/>
      <c r="U252" s="79"/>
      <c r="V252" s="81">
        <v>15.0</v>
      </c>
      <c r="W252" s="40" t="str">
        <f t="shared" si="72"/>
        <v>0x5B</v>
      </c>
      <c r="X252" s="40" t="str">
        <f t="shared" ref="X252:AG252" si="220">"0x" &amp; MID($B252,$V252  + 2*(COLUMN() - COLUMN($W252)), 2)</f>
        <v>0xF0</v>
      </c>
      <c r="Y252" s="40" t="str">
        <f t="shared" si="220"/>
        <v>0x40</v>
      </c>
      <c r="Z252" s="40" t="str">
        <f t="shared" si="220"/>
        <v>0x3F</v>
      </c>
      <c r="AA252" s="40" t="str">
        <f t="shared" si="220"/>
        <v>0x37</v>
      </c>
      <c r="AB252" s="40" t="str">
        <f t="shared" si="220"/>
        <v>0x48</v>
      </c>
      <c r="AC252" s="40" t="str">
        <f t="shared" si="220"/>
        <v>0x94</v>
      </c>
      <c r="AD252" s="40" t="str">
        <f t="shared" si="220"/>
        <v>0xD1</v>
      </c>
      <c r="AE252" s="40" t="str">
        <f t="shared" si="220"/>
        <v>0x3D</v>
      </c>
      <c r="AF252" s="40" t="str">
        <f t="shared" si="220"/>
        <v>0x05</v>
      </c>
      <c r="AG252" s="40" t="str">
        <f t="shared" si="220"/>
        <v>0x1E</v>
      </c>
      <c r="AH252" s="40"/>
      <c r="AI252" s="40"/>
      <c r="AJ252" s="40"/>
      <c r="AK252" s="40"/>
      <c r="AL252" s="40"/>
      <c r="AM252" s="40"/>
      <c r="AN252" s="64" t="str">
        <f t="shared" si="215"/>
        <v>0xB0</v>
      </c>
    </row>
    <row r="253">
      <c r="A253" s="51" t="str">
        <f t="shared" si="2"/>
        <v>E911</v>
      </c>
      <c r="B253" s="52" t="str">
        <f>IFERROR(__xludf.DUMMYFUNCTION("REGEXREPLACE($H253, ""(?i)^8301(E000|E100|E200|E300)?"", """")"),"E91100480F445D58F44882D146050FD06500B0")</f>
        <v>E91100480F445D58F44882D146050FD06500B0</v>
      </c>
      <c r="C253" s="65" t="s">
        <v>484</v>
      </c>
      <c r="D253" s="65"/>
      <c r="E253" s="65" t="s">
        <v>217</v>
      </c>
      <c r="F253" s="65" t="s">
        <v>218</v>
      </c>
      <c r="G253" s="67">
        <v>46244.0</v>
      </c>
      <c r="H253" s="68" t="s">
        <v>462</v>
      </c>
      <c r="I253" s="65"/>
      <c r="J253" s="57" t="str">
        <f t="shared" si="3"/>
        <v>0x11</v>
      </c>
      <c r="K253" s="58" t="str">
        <f t="shared" si="4"/>
        <v>0x00</v>
      </c>
      <c r="L253" s="58" t="str">
        <f t="shared" si="5"/>
        <v>0x48</v>
      </c>
      <c r="M253" s="82">
        <v>2.0</v>
      </c>
      <c r="N253" s="83" t="str">
        <f t="shared" si="189"/>
        <v>0x0F</v>
      </c>
      <c r="O253" s="84" t="str">
        <f t="shared" si="190"/>
        <v>0x44</v>
      </c>
      <c r="P253" s="84" t="str">
        <f t="shared" si="191"/>
        <v>0x5D</v>
      </c>
      <c r="Q253" s="85"/>
      <c r="R253" s="86"/>
      <c r="S253" s="85"/>
      <c r="T253" s="85"/>
      <c r="U253" s="85"/>
      <c r="V253" s="87">
        <v>15.0</v>
      </c>
      <c r="W253" s="58" t="str">
        <f t="shared" si="72"/>
        <v>0x58</v>
      </c>
      <c r="X253" s="58" t="str">
        <f t="shared" ref="X253:AG253" si="221">"0x" &amp; MID($B253,$V253  + 2*(COLUMN() - COLUMN($W253)), 2)</f>
        <v>0xF4</v>
      </c>
      <c r="Y253" s="58" t="str">
        <f t="shared" si="221"/>
        <v>0x48</v>
      </c>
      <c r="Z253" s="58" t="str">
        <f t="shared" si="221"/>
        <v>0x82</v>
      </c>
      <c r="AA253" s="58" t="str">
        <f t="shared" si="221"/>
        <v>0xD1</v>
      </c>
      <c r="AB253" s="58" t="str">
        <f t="shared" si="221"/>
        <v>0x46</v>
      </c>
      <c r="AC253" s="58" t="str">
        <f t="shared" si="221"/>
        <v>0x05</v>
      </c>
      <c r="AD253" s="58" t="str">
        <f t="shared" si="221"/>
        <v>0x0F</v>
      </c>
      <c r="AE253" s="58" t="str">
        <f t="shared" si="221"/>
        <v>0xD0</v>
      </c>
      <c r="AF253" s="58" t="str">
        <f t="shared" si="221"/>
        <v>0x65</v>
      </c>
      <c r="AG253" s="58" t="str">
        <f t="shared" si="221"/>
        <v>0x00</v>
      </c>
      <c r="AH253" s="58"/>
      <c r="AI253" s="58"/>
      <c r="AJ253" s="58"/>
      <c r="AK253" s="58"/>
      <c r="AL253" s="58"/>
      <c r="AM253" s="58"/>
      <c r="AN253" s="74" t="str">
        <f t="shared" si="215"/>
        <v>0xB0</v>
      </c>
    </row>
    <row r="254">
      <c r="A254" s="33" t="str">
        <f t="shared" si="2"/>
        <v>E911</v>
      </c>
      <c r="B254" s="34" t="str">
        <f>IFERROR(__xludf.DUMMYFUNCTION("REGEXREPLACE($H254, ""(?i)^8301(E000|E100|E200|E300)?"", """")"),"E911004A0F515D58F44882D146050FD06500B0")</f>
        <v>E911004A0F515D58F44882D146050FD06500B0</v>
      </c>
      <c r="C254" s="36" t="s">
        <v>477</v>
      </c>
      <c r="D254" s="36"/>
      <c r="E254" s="36" t="s">
        <v>217</v>
      </c>
      <c r="F254" s="36" t="s">
        <v>218</v>
      </c>
      <c r="G254" s="37">
        <v>46244.0</v>
      </c>
      <c r="H254" s="38" t="s">
        <v>465</v>
      </c>
      <c r="I254" s="36"/>
      <c r="J254" s="39" t="str">
        <f t="shared" si="3"/>
        <v>0x11</v>
      </c>
      <c r="K254" s="40" t="str">
        <f t="shared" si="4"/>
        <v>0x00</v>
      </c>
      <c r="L254" s="40" t="str">
        <f t="shared" si="5"/>
        <v>0x4A</v>
      </c>
      <c r="M254" s="77">
        <v>2.0</v>
      </c>
      <c r="N254" s="78" t="str">
        <f t="shared" si="189"/>
        <v>0x0F</v>
      </c>
      <c r="O254" s="72" t="str">
        <f t="shared" si="190"/>
        <v>0x51</v>
      </c>
      <c r="P254" s="72" t="str">
        <f t="shared" si="191"/>
        <v>0x5D</v>
      </c>
      <c r="Q254" s="79"/>
      <c r="R254" s="80"/>
      <c r="S254" s="79"/>
      <c r="T254" s="79"/>
      <c r="U254" s="79"/>
      <c r="V254" s="81">
        <v>15.0</v>
      </c>
      <c r="W254" s="40" t="str">
        <f t="shared" si="72"/>
        <v>0x58</v>
      </c>
      <c r="X254" s="40" t="str">
        <f t="shared" ref="X254:AG254" si="222">"0x" &amp; MID($B254,$V254  + 2*(COLUMN() - COLUMN($W254)), 2)</f>
        <v>0xF4</v>
      </c>
      <c r="Y254" s="40" t="str">
        <f t="shared" si="222"/>
        <v>0x48</v>
      </c>
      <c r="Z254" s="40" t="str">
        <f t="shared" si="222"/>
        <v>0x82</v>
      </c>
      <c r="AA254" s="40" t="str">
        <f t="shared" si="222"/>
        <v>0xD1</v>
      </c>
      <c r="AB254" s="40" t="str">
        <f t="shared" si="222"/>
        <v>0x46</v>
      </c>
      <c r="AC254" s="40" t="str">
        <f t="shared" si="222"/>
        <v>0x05</v>
      </c>
      <c r="AD254" s="40" t="str">
        <f t="shared" si="222"/>
        <v>0x0F</v>
      </c>
      <c r="AE254" s="40" t="str">
        <f t="shared" si="222"/>
        <v>0xD0</v>
      </c>
      <c r="AF254" s="40" t="str">
        <f t="shared" si="222"/>
        <v>0x65</v>
      </c>
      <c r="AG254" s="40" t="str">
        <f t="shared" si="222"/>
        <v>0x00</v>
      </c>
      <c r="AH254" s="40"/>
      <c r="AI254" s="40"/>
      <c r="AJ254" s="40"/>
      <c r="AK254" s="40"/>
      <c r="AL254" s="40"/>
      <c r="AM254" s="40"/>
      <c r="AN254" s="64" t="str">
        <f t="shared" si="215"/>
        <v>0xB0</v>
      </c>
    </row>
    <row r="255" hidden="1">
      <c r="A255" s="51" t="str">
        <f t="shared" si="2"/>
        <v>E911</v>
      </c>
      <c r="B255" s="52" t="str">
        <f>IFERROR(__xludf.DUMMYFUNCTION("REGEXREPLACE($H255, ""(?i)^8301(E000|E100|E200|E300)?"", """")"),"E911004F0F444F58F44882D1460607D06543B0")</f>
        <v>E911004F0F444F58F44882D1460607D06543B0</v>
      </c>
      <c r="C255" s="65" t="s">
        <v>484</v>
      </c>
      <c r="D255" s="65" t="s">
        <v>494</v>
      </c>
      <c r="E255" s="65" t="s">
        <v>75</v>
      </c>
      <c r="F255" s="65" t="s">
        <v>120</v>
      </c>
      <c r="G255" s="67">
        <v>46219.0</v>
      </c>
      <c r="H255" s="68" t="s">
        <v>375</v>
      </c>
      <c r="I255" s="65"/>
      <c r="J255" s="57" t="str">
        <f t="shared" si="3"/>
        <v>0x11</v>
      </c>
      <c r="K255" s="58" t="str">
        <f t="shared" si="4"/>
        <v>0x00</v>
      </c>
      <c r="L255" s="58" t="str">
        <f t="shared" si="5"/>
        <v>0x4F</v>
      </c>
      <c r="M255" s="82">
        <v>2.0</v>
      </c>
      <c r="N255" s="83" t="str">
        <f t="shared" si="189"/>
        <v>0x0F</v>
      </c>
      <c r="O255" s="84" t="str">
        <f t="shared" si="190"/>
        <v>0x44</v>
      </c>
      <c r="P255" s="84" t="str">
        <f t="shared" si="191"/>
        <v>0x4F</v>
      </c>
      <c r="Q255" s="85"/>
      <c r="R255" s="86"/>
      <c r="S255" s="85"/>
      <c r="T255" s="85"/>
      <c r="U255" s="85"/>
      <c r="V255" s="87">
        <v>15.0</v>
      </c>
      <c r="W255" s="58" t="str">
        <f t="shared" si="72"/>
        <v>0x58</v>
      </c>
      <c r="X255" s="58" t="str">
        <f t="shared" ref="X255:AG255" si="223">"0x" &amp; MID($B255,$V255  + 2*(COLUMN() - COLUMN($W255)), 2)</f>
        <v>0xF4</v>
      </c>
      <c r="Y255" s="58" t="str">
        <f t="shared" si="223"/>
        <v>0x48</v>
      </c>
      <c r="Z255" s="58" t="str">
        <f t="shared" si="223"/>
        <v>0x82</v>
      </c>
      <c r="AA255" s="58" t="str">
        <f t="shared" si="223"/>
        <v>0xD1</v>
      </c>
      <c r="AB255" s="58" t="str">
        <f t="shared" si="223"/>
        <v>0x46</v>
      </c>
      <c r="AC255" s="58" t="str">
        <f t="shared" si="223"/>
        <v>0x06</v>
      </c>
      <c r="AD255" s="58" t="str">
        <f t="shared" si="223"/>
        <v>0x07</v>
      </c>
      <c r="AE255" s="58" t="str">
        <f t="shared" si="223"/>
        <v>0xD0</v>
      </c>
      <c r="AF255" s="58" t="str">
        <f t="shared" si="223"/>
        <v>0x65</v>
      </c>
      <c r="AG255" s="58" t="str">
        <f t="shared" si="223"/>
        <v>0x43</v>
      </c>
      <c r="AH255" s="58"/>
      <c r="AI255" s="58"/>
      <c r="AJ255" s="58"/>
      <c r="AK255" s="58"/>
      <c r="AL255" s="58"/>
      <c r="AM255" s="58"/>
      <c r="AN255" s="74" t="str">
        <f t="shared" si="215"/>
        <v>0xB0</v>
      </c>
    </row>
    <row r="256" hidden="1">
      <c r="A256" s="33" t="str">
        <f t="shared" si="2"/>
        <v>E911</v>
      </c>
      <c r="B256" s="34" t="str">
        <f>IFERROR(__xludf.DUMMYFUNCTION("REGEXREPLACE($H256, ""(?i)^8301(E000|E100|E200|E300)?"", """")"),"E911004F0F515558F44882D146023ED06505B0")</f>
        <v>E911004F0F515558F44882D146023ED06505B0</v>
      </c>
      <c r="C256" s="36" t="s">
        <v>484</v>
      </c>
      <c r="D256" s="36" t="s">
        <v>478</v>
      </c>
      <c r="E256" s="41" t="s">
        <v>75</v>
      </c>
      <c r="F256" s="41" t="s">
        <v>76</v>
      </c>
      <c r="G256" s="43">
        <v>46235.0</v>
      </c>
      <c r="H256" s="44" t="s">
        <v>398</v>
      </c>
      <c r="I256" s="36"/>
      <c r="J256" s="39" t="str">
        <f t="shared" si="3"/>
        <v>0x11</v>
      </c>
      <c r="K256" s="40" t="str">
        <f t="shared" si="4"/>
        <v>0x00</v>
      </c>
      <c r="L256" s="40" t="str">
        <f t="shared" si="5"/>
        <v>0x4F</v>
      </c>
      <c r="M256" s="77">
        <v>2.0</v>
      </c>
      <c r="N256" s="78" t="str">
        <f t="shared" si="189"/>
        <v>0x0F</v>
      </c>
      <c r="O256" s="72" t="str">
        <f t="shared" si="190"/>
        <v>0x51</v>
      </c>
      <c r="P256" s="72" t="str">
        <f t="shared" si="191"/>
        <v>0x55</v>
      </c>
      <c r="Q256" s="79"/>
      <c r="R256" s="80"/>
      <c r="S256" s="79"/>
      <c r="T256" s="79"/>
      <c r="U256" s="79"/>
      <c r="V256" s="81">
        <v>15.0</v>
      </c>
      <c r="W256" s="40" t="str">
        <f t="shared" si="72"/>
        <v>0x58</v>
      </c>
      <c r="X256" s="40" t="str">
        <f t="shared" ref="X256:AG256" si="224">"0x" &amp; MID($B256,$V256  + 2*(COLUMN() - COLUMN($W256)), 2)</f>
        <v>0xF4</v>
      </c>
      <c r="Y256" s="40" t="str">
        <f t="shared" si="224"/>
        <v>0x48</v>
      </c>
      <c r="Z256" s="40" t="str">
        <f t="shared" si="224"/>
        <v>0x82</v>
      </c>
      <c r="AA256" s="40" t="str">
        <f t="shared" si="224"/>
        <v>0xD1</v>
      </c>
      <c r="AB256" s="40" t="str">
        <f t="shared" si="224"/>
        <v>0x46</v>
      </c>
      <c r="AC256" s="40" t="str">
        <f t="shared" si="224"/>
        <v>0x02</v>
      </c>
      <c r="AD256" s="40" t="str">
        <f t="shared" si="224"/>
        <v>0x3E</v>
      </c>
      <c r="AE256" s="40" t="str">
        <f t="shared" si="224"/>
        <v>0xD0</v>
      </c>
      <c r="AF256" s="40" t="str">
        <f t="shared" si="224"/>
        <v>0x65</v>
      </c>
      <c r="AG256" s="40" t="str">
        <f t="shared" si="224"/>
        <v>0x05</v>
      </c>
      <c r="AH256" s="40"/>
      <c r="AI256" s="40"/>
      <c r="AJ256" s="40"/>
      <c r="AK256" s="40"/>
      <c r="AL256" s="40"/>
      <c r="AM256" s="40"/>
      <c r="AN256" s="64" t="str">
        <f t="shared" si="215"/>
        <v>0xB0</v>
      </c>
    </row>
    <row r="257" hidden="1">
      <c r="A257" s="51" t="str">
        <f t="shared" si="2"/>
        <v>E911</v>
      </c>
      <c r="B257" s="52" t="str">
        <f>IFERROR(__xludf.DUMMYFUNCTION("REGEXREPLACE($H257, ""(?i)^8301(E000|E100|E200|E300)?"", """")"),"E91100540F434758F44882D146050FD06500BA")</f>
        <v>E91100540F434758F44882D146050FD06500BA</v>
      </c>
      <c r="C257" s="65" t="s">
        <v>477</v>
      </c>
      <c r="D257" s="65" t="s">
        <v>478</v>
      </c>
      <c r="E257" s="65" t="s">
        <v>129</v>
      </c>
      <c r="F257" s="89" t="s">
        <v>137</v>
      </c>
      <c r="G257" s="67">
        <v>46240.0</v>
      </c>
      <c r="H257" s="56" t="s">
        <v>376</v>
      </c>
      <c r="I257" s="65"/>
      <c r="J257" s="57" t="str">
        <f t="shared" si="3"/>
        <v>0x11</v>
      </c>
      <c r="K257" s="58" t="str">
        <f t="shared" si="4"/>
        <v>0x00</v>
      </c>
      <c r="L257" s="58" t="str">
        <f t="shared" si="5"/>
        <v>0x54</v>
      </c>
      <c r="M257" s="82">
        <v>2.0</v>
      </c>
      <c r="N257" s="83" t="str">
        <f t="shared" si="189"/>
        <v>0x0F</v>
      </c>
      <c r="O257" s="84" t="str">
        <f t="shared" si="190"/>
        <v>0x43</v>
      </c>
      <c r="P257" s="84" t="str">
        <f t="shared" si="191"/>
        <v>0x47</v>
      </c>
      <c r="Q257" s="85"/>
      <c r="R257" s="86"/>
      <c r="S257" s="85"/>
      <c r="T257" s="85"/>
      <c r="U257" s="85"/>
      <c r="V257" s="87">
        <v>15.0</v>
      </c>
      <c r="W257" s="58" t="str">
        <f t="shared" si="72"/>
        <v>0x58</v>
      </c>
      <c r="X257" s="58" t="str">
        <f t="shared" ref="X257:AG257" si="225">"0x" &amp; MID($B257,$V257  + 2*(COLUMN() - COLUMN($W257)), 2)</f>
        <v>0xF4</v>
      </c>
      <c r="Y257" s="58" t="str">
        <f t="shared" si="225"/>
        <v>0x48</v>
      </c>
      <c r="Z257" s="58" t="str">
        <f t="shared" si="225"/>
        <v>0x82</v>
      </c>
      <c r="AA257" s="58" t="str">
        <f t="shared" si="225"/>
        <v>0xD1</v>
      </c>
      <c r="AB257" s="58" t="str">
        <f t="shared" si="225"/>
        <v>0x46</v>
      </c>
      <c r="AC257" s="58" t="str">
        <f t="shared" si="225"/>
        <v>0x05</v>
      </c>
      <c r="AD257" s="58" t="str">
        <f t="shared" si="225"/>
        <v>0x0F</v>
      </c>
      <c r="AE257" s="58" t="str">
        <f t="shared" si="225"/>
        <v>0xD0</v>
      </c>
      <c r="AF257" s="58" t="str">
        <f t="shared" si="225"/>
        <v>0x65</v>
      </c>
      <c r="AG257" s="58" t="str">
        <f t="shared" si="225"/>
        <v>0x00</v>
      </c>
      <c r="AH257" s="58"/>
      <c r="AI257" s="58"/>
      <c r="AJ257" s="58"/>
      <c r="AK257" s="58"/>
      <c r="AL257" s="58"/>
      <c r="AM257" s="58"/>
      <c r="AN257" s="74" t="str">
        <f t="shared" si="215"/>
        <v>0xBA</v>
      </c>
    </row>
    <row r="258" hidden="1">
      <c r="A258" s="33" t="str">
        <f t="shared" si="2"/>
        <v>E911</v>
      </c>
      <c r="B258" s="34" t="str">
        <f>IFERROR(__xludf.DUMMYFUNCTION("REGEXREPLACE($H258, ""(?i)^8301(E000|E100|E200|E300)?"", """")"),"E91100540F445558F44882D146050FD06500B0")</f>
        <v>E91100540F445558F44882D146050FD06500B0</v>
      </c>
      <c r="C258" s="36" t="s">
        <v>477</v>
      </c>
      <c r="D258" s="36" t="s">
        <v>478</v>
      </c>
      <c r="E258" s="36" t="s">
        <v>75</v>
      </c>
      <c r="F258" s="36" t="s">
        <v>143</v>
      </c>
      <c r="G258" s="37">
        <v>46208.0</v>
      </c>
      <c r="H258" s="38" t="s">
        <v>377</v>
      </c>
      <c r="I258" s="36"/>
      <c r="J258" s="39" t="str">
        <f t="shared" si="3"/>
        <v>0x11</v>
      </c>
      <c r="K258" s="40" t="str">
        <f t="shared" si="4"/>
        <v>0x00</v>
      </c>
      <c r="L258" s="40" t="str">
        <f t="shared" si="5"/>
        <v>0x54</v>
      </c>
      <c r="M258" s="77">
        <v>2.0</v>
      </c>
      <c r="N258" s="78" t="str">
        <f t="shared" si="189"/>
        <v>0x0F</v>
      </c>
      <c r="O258" s="72" t="str">
        <f t="shared" si="190"/>
        <v>0x44</v>
      </c>
      <c r="P258" s="72" t="str">
        <f t="shared" si="191"/>
        <v>0x55</v>
      </c>
      <c r="Q258" s="79"/>
      <c r="R258" s="80"/>
      <c r="S258" s="79"/>
      <c r="T258" s="79"/>
      <c r="U258" s="79"/>
      <c r="V258" s="81">
        <v>15.0</v>
      </c>
      <c r="W258" s="40" t="str">
        <f t="shared" si="72"/>
        <v>0x58</v>
      </c>
      <c r="X258" s="40" t="str">
        <f t="shared" ref="X258:AG258" si="226">"0x" &amp; MID($B258,$V258  + 2*(COLUMN() - COLUMN($W258)), 2)</f>
        <v>0xF4</v>
      </c>
      <c r="Y258" s="40" t="str">
        <f t="shared" si="226"/>
        <v>0x48</v>
      </c>
      <c r="Z258" s="40" t="str">
        <f t="shared" si="226"/>
        <v>0x82</v>
      </c>
      <c r="AA258" s="40" t="str">
        <f t="shared" si="226"/>
        <v>0xD1</v>
      </c>
      <c r="AB258" s="40" t="str">
        <f t="shared" si="226"/>
        <v>0x46</v>
      </c>
      <c r="AC258" s="40" t="str">
        <f t="shared" si="226"/>
        <v>0x05</v>
      </c>
      <c r="AD258" s="40" t="str">
        <f t="shared" si="226"/>
        <v>0x0F</v>
      </c>
      <c r="AE258" s="40" t="str">
        <f t="shared" si="226"/>
        <v>0xD0</v>
      </c>
      <c r="AF258" s="40" t="str">
        <f t="shared" si="226"/>
        <v>0x65</v>
      </c>
      <c r="AG258" s="40" t="str">
        <f t="shared" si="226"/>
        <v>0x00</v>
      </c>
      <c r="AH258" s="40"/>
      <c r="AI258" s="40"/>
      <c r="AJ258" s="40"/>
      <c r="AK258" s="40"/>
      <c r="AL258" s="40"/>
      <c r="AM258" s="40"/>
      <c r="AN258" s="64" t="str">
        <f t="shared" si="215"/>
        <v>0xB0</v>
      </c>
    </row>
    <row r="259" hidden="1">
      <c r="A259" s="51" t="str">
        <f t="shared" si="2"/>
        <v>E911</v>
      </c>
      <c r="B259" s="52" t="str">
        <f>IFERROR(__xludf.DUMMYFUNCTION("REGEXREPLACE($H259, ""(?i)^8301(E000|E100|E200|E300)?"", """")"),"E91100540F534D58F44882D146050FD06500B0")</f>
        <v>E91100540F534D58F44882D146050FD06500B0</v>
      </c>
      <c r="C259" s="65" t="s">
        <v>477</v>
      </c>
      <c r="D259" s="65" t="s">
        <v>478</v>
      </c>
      <c r="E259" s="65" t="s">
        <v>129</v>
      </c>
      <c r="F259" s="65" t="s">
        <v>137</v>
      </c>
      <c r="G259" s="67">
        <v>46207.0</v>
      </c>
      <c r="H259" s="56" t="s">
        <v>378</v>
      </c>
      <c r="I259" s="65"/>
      <c r="J259" s="57" t="str">
        <f t="shared" si="3"/>
        <v>0x11</v>
      </c>
      <c r="K259" s="58" t="str">
        <f t="shared" si="4"/>
        <v>0x00</v>
      </c>
      <c r="L259" s="58" t="str">
        <f t="shared" si="5"/>
        <v>0x54</v>
      </c>
      <c r="M259" s="82">
        <v>2.0</v>
      </c>
      <c r="N259" s="83" t="str">
        <f t="shared" si="189"/>
        <v>0x0F</v>
      </c>
      <c r="O259" s="84" t="str">
        <f t="shared" si="190"/>
        <v>0x53</v>
      </c>
      <c r="P259" s="84" t="str">
        <f t="shared" si="191"/>
        <v>0x4D</v>
      </c>
      <c r="Q259" s="85"/>
      <c r="R259" s="86"/>
      <c r="S259" s="85"/>
      <c r="T259" s="85"/>
      <c r="U259" s="85"/>
      <c r="V259" s="87">
        <v>15.0</v>
      </c>
      <c r="W259" s="58" t="str">
        <f t="shared" si="72"/>
        <v>0x58</v>
      </c>
      <c r="X259" s="58" t="str">
        <f t="shared" ref="X259:AG259" si="227">"0x" &amp; MID($B259,$V259  + 2*(COLUMN() - COLUMN($W259)), 2)</f>
        <v>0xF4</v>
      </c>
      <c r="Y259" s="58" t="str">
        <f t="shared" si="227"/>
        <v>0x48</v>
      </c>
      <c r="Z259" s="58" t="str">
        <f t="shared" si="227"/>
        <v>0x82</v>
      </c>
      <c r="AA259" s="58" t="str">
        <f t="shared" si="227"/>
        <v>0xD1</v>
      </c>
      <c r="AB259" s="58" t="str">
        <f t="shared" si="227"/>
        <v>0x46</v>
      </c>
      <c r="AC259" s="58" t="str">
        <f t="shared" si="227"/>
        <v>0x05</v>
      </c>
      <c r="AD259" s="58" t="str">
        <f t="shared" si="227"/>
        <v>0x0F</v>
      </c>
      <c r="AE259" s="58" t="str">
        <f t="shared" si="227"/>
        <v>0xD0</v>
      </c>
      <c r="AF259" s="58" t="str">
        <f t="shared" si="227"/>
        <v>0x65</v>
      </c>
      <c r="AG259" s="58" t="str">
        <f t="shared" si="227"/>
        <v>0x00</v>
      </c>
      <c r="AH259" s="58"/>
      <c r="AI259" s="58"/>
      <c r="AJ259" s="58"/>
      <c r="AK259" s="58"/>
      <c r="AL259" s="58"/>
      <c r="AM259" s="58"/>
      <c r="AN259" s="74" t="str">
        <f t="shared" si="215"/>
        <v>0xB0</v>
      </c>
    </row>
    <row r="260">
      <c r="A260" s="33" t="str">
        <f t="shared" si="2"/>
        <v>E911</v>
      </c>
      <c r="B260" s="34" t="str">
        <f>IFERROR(__xludf.DUMMYFUNCTION("REGEXREPLACE($H260, ""(?i)^8301(E000|E100|E200|E300)?"", """")"),"E91100540F545158F44882D1460507D06532B0")</f>
        <v>E91100540F545158F44882D1460507D06532B0</v>
      </c>
      <c r="C260" s="36" t="s">
        <v>484</v>
      </c>
      <c r="D260" s="36" t="s">
        <v>495</v>
      </c>
      <c r="E260" s="36" t="s">
        <v>217</v>
      </c>
      <c r="F260" s="36" t="s">
        <v>218</v>
      </c>
      <c r="G260" s="37">
        <v>46244.0</v>
      </c>
      <c r="H260" s="38" t="s">
        <v>458</v>
      </c>
      <c r="I260" s="36"/>
      <c r="J260" s="39" t="str">
        <f t="shared" si="3"/>
        <v>0x11</v>
      </c>
      <c r="K260" s="40" t="str">
        <f t="shared" si="4"/>
        <v>0x00</v>
      </c>
      <c r="L260" s="40" t="str">
        <f t="shared" si="5"/>
        <v>0x54</v>
      </c>
      <c r="M260" s="77">
        <v>2.0</v>
      </c>
      <c r="N260" s="78" t="str">
        <f t="shared" si="189"/>
        <v>0x0F</v>
      </c>
      <c r="O260" s="72" t="str">
        <f t="shared" si="190"/>
        <v>0x54</v>
      </c>
      <c r="P260" s="72" t="str">
        <f t="shared" si="191"/>
        <v>0x51</v>
      </c>
      <c r="Q260" s="79"/>
      <c r="R260" s="80"/>
      <c r="S260" s="79"/>
      <c r="T260" s="79"/>
      <c r="U260" s="79"/>
      <c r="V260" s="81">
        <v>15.0</v>
      </c>
      <c r="W260" s="40" t="str">
        <f t="shared" si="72"/>
        <v>0x58</v>
      </c>
      <c r="X260" s="40" t="str">
        <f t="shared" ref="X260:AG260" si="228">"0x" &amp; MID($B260,$V260  + 2*(COLUMN() - COLUMN($W260)), 2)</f>
        <v>0xF4</v>
      </c>
      <c r="Y260" s="40" t="str">
        <f t="shared" si="228"/>
        <v>0x48</v>
      </c>
      <c r="Z260" s="40" t="str">
        <f t="shared" si="228"/>
        <v>0x82</v>
      </c>
      <c r="AA260" s="40" t="str">
        <f t="shared" si="228"/>
        <v>0xD1</v>
      </c>
      <c r="AB260" s="40" t="str">
        <f t="shared" si="228"/>
        <v>0x46</v>
      </c>
      <c r="AC260" s="40" t="str">
        <f t="shared" si="228"/>
        <v>0x05</v>
      </c>
      <c r="AD260" s="40" t="str">
        <f t="shared" si="228"/>
        <v>0x07</v>
      </c>
      <c r="AE260" s="40" t="str">
        <f t="shared" si="228"/>
        <v>0xD0</v>
      </c>
      <c r="AF260" s="40" t="str">
        <f t="shared" si="228"/>
        <v>0x65</v>
      </c>
      <c r="AG260" s="40" t="str">
        <f t="shared" si="228"/>
        <v>0x32</v>
      </c>
      <c r="AH260" s="40"/>
      <c r="AI260" s="40"/>
      <c r="AJ260" s="40"/>
      <c r="AK260" s="40"/>
      <c r="AL260" s="40"/>
      <c r="AM260" s="40"/>
      <c r="AN260" s="64" t="str">
        <f t="shared" si="215"/>
        <v>0xB0</v>
      </c>
    </row>
    <row r="261" hidden="1">
      <c r="A261" s="51" t="str">
        <f t="shared" si="2"/>
        <v>E911</v>
      </c>
      <c r="B261" s="52" t="str">
        <f>IFERROR(__xludf.DUMMYFUNCTION("REGEXREPLACE($H261, ""(?i)^8301(E000|E100|E200|E300)?"", """")"),"E91100560F534D58F44882D146050FD06500BA")</f>
        <v>E91100560F534D58F44882D146050FD06500BA</v>
      </c>
      <c r="C261" s="65" t="s">
        <v>484</v>
      </c>
      <c r="D261" s="65" t="s">
        <v>478</v>
      </c>
      <c r="E261" s="65" t="s">
        <v>129</v>
      </c>
      <c r="F261" s="65" t="s">
        <v>137</v>
      </c>
      <c r="G261" s="67">
        <v>46207.0</v>
      </c>
      <c r="H261" s="56" t="s">
        <v>379</v>
      </c>
      <c r="I261" s="65"/>
      <c r="J261" s="57" t="str">
        <f t="shared" si="3"/>
        <v>0x11</v>
      </c>
      <c r="K261" s="58" t="str">
        <f t="shared" si="4"/>
        <v>0x00</v>
      </c>
      <c r="L261" s="58" t="str">
        <f t="shared" si="5"/>
        <v>0x56</v>
      </c>
      <c r="M261" s="82">
        <v>2.0</v>
      </c>
      <c r="N261" s="83" t="str">
        <f t="shared" si="189"/>
        <v>0x0F</v>
      </c>
      <c r="O261" s="84" t="str">
        <f t="shared" si="190"/>
        <v>0x53</v>
      </c>
      <c r="P261" s="84" t="str">
        <f t="shared" si="191"/>
        <v>0x4D</v>
      </c>
      <c r="Q261" s="85"/>
      <c r="R261" s="86"/>
      <c r="S261" s="85"/>
      <c r="T261" s="85"/>
      <c r="U261" s="85"/>
      <c r="V261" s="87">
        <v>15.0</v>
      </c>
      <c r="W261" s="58" t="str">
        <f t="shared" si="72"/>
        <v>0x58</v>
      </c>
      <c r="X261" s="58" t="str">
        <f t="shared" ref="X261:AG261" si="229">"0x" &amp; MID($B261,$V261  + 2*(COLUMN() - COLUMN($W261)), 2)</f>
        <v>0xF4</v>
      </c>
      <c r="Y261" s="58" t="str">
        <f t="shared" si="229"/>
        <v>0x48</v>
      </c>
      <c r="Z261" s="58" t="str">
        <f t="shared" si="229"/>
        <v>0x82</v>
      </c>
      <c r="AA261" s="58" t="str">
        <f t="shared" si="229"/>
        <v>0xD1</v>
      </c>
      <c r="AB261" s="58" t="str">
        <f t="shared" si="229"/>
        <v>0x46</v>
      </c>
      <c r="AC261" s="58" t="str">
        <f t="shared" si="229"/>
        <v>0x05</v>
      </c>
      <c r="AD261" s="58" t="str">
        <f t="shared" si="229"/>
        <v>0x0F</v>
      </c>
      <c r="AE261" s="58" t="str">
        <f t="shared" si="229"/>
        <v>0xD0</v>
      </c>
      <c r="AF261" s="58" t="str">
        <f t="shared" si="229"/>
        <v>0x65</v>
      </c>
      <c r="AG261" s="58" t="str">
        <f t="shared" si="229"/>
        <v>0x00</v>
      </c>
      <c r="AH261" s="58"/>
      <c r="AI261" s="58"/>
      <c r="AJ261" s="58"/>
      <c r="AK261" s="58"/>
      <c r="AL261" s="58"/>
      <c r="AM261" s="58"/>
      <c r="AN261" s="74" t="str">
        <f t="shared" si="215"/>
        <v>0xBA</v>
      </c>
    </row>
    <row r="262" hidden="1">
      <c r="A262" s="33" t="str">
        <f t="shared" si="2"/>
        <v>E911</v>
      </c>
      <c r="B262" s="34" t="str">
        <f>IFERROR(__xludf.DUMMYFUNCTION("REGEXREPLACE($H262, ""(?i)^8301(E000|E100|E200|E300)?"", """")"),"E91100560F555D58F44882D146050FD06500B0")</f>
        <v>E91100560F555D58F44882D146050FD06500B0</v>
      </c>
      <c r="C262" s="36" t="s">
        <v>477</v>
      </c>
      <c r="D262" s="36" t="s">
        <v>478</v>
      </c>
      <c r="E262" s="36" t="s">
        <v>129</v>
      </c>
      <c r="F262" s="36" t="s">
        <v>137</v>
      </c>
      <c r="G262" s="37">
        <v>46207.0</v>
      </c>
      <c r="H262" s="44" t="s">
        <v>380</v>
      </c>
      <c r="I262" s="36"/>
      <c r="J262" s="39" t="str">
        <f t="shared" si="3"/>
        <v>0x11</v>
      </c>
      <c r="K262" s="40" t="str">
        <f t="shared" si="4"/>
        <v>0x00</v>
      </c>
      <c r="L262" s="40" t="str">
        <f t="shared" si="5"/>
        <v>0x56</v>
      </c>
      <c r="M262" s="77">
        <v>2.0</v>
      </c>
      <c r="N262" s="78" t="str">
        <f t="shared" si="189"/>
        <v>0x0F</v>
      </c>
      <c r="O262" s="72" t="str">
        <f t="shared" si="190"/>
        <v>0x55</v>
      </c>
      <c r="P262" s="72" t="str">
        <f t="shared" si="191"/>
        <v>0x5D</v>
      </c>
      <c r="Q262" s="79"/>
      <c r="R262" s="80"/>
      <c r="S262" s="79"/>
      <c r="T262" s="79"/>
      <c r="U262" s="79"/>
      <c r="V262" s="81">
        <v>15.0</v>
      </c>
      <c r="W262" s="40" t="str">
        <f t="shared" si="72"/>
        <v>0x58</v>
      </c>
      <c r="X262" s="40" t="str">
        <f t="shared" ref="X262:AG262" si="230">"0x" &amp; MID($B262,$V262  + 2*(COLUMN() - COLUMN($W262)), 2)</f>
        <v>0xF4</v>
      </c>
      <c r="Y262" s="40" t="str">
        <f t="shared" si="230"/>
        <v>0x48</v>
      </c>
      <c r="Z262" s="40" t="str">
        <f t="shared" si="230"/>
        <v>0x82</v>
      </c>
      <c r="AA262" s="40" t="str">
        <f t="shared" si="230"/>
        <v>0xD1</v>
      </c>
      <c r="AB262" s="40" t="str">
        <f t="shared" si="230"/>
        <v>0x46</v>
      </c>
      <c r="AC262" s="40" t="str">
        <f t="shared" si="230"/>
        <v>0x05</v>
      </c>
      <c r="AD262" s="40" t="str">
        <f t="shared" si="230"/>
        <v>0x0F</v>
      </c>
      <c r="AE262" s="40" t="str">
        <f t="shared" si="230"/>
        <v>0xD0</v>
      </c>
      <c r="AF262" s="40" t="str">
        <f t="shared" si="230"/>
        <v>0x65</v>
      </c>
      <c r="AG262" s="40" t="str">
        <f t="shared" si="230"/>
        <v>0x00</v>
      </c>
      <c r="AH262" s="40"/>
      <c r="AI262" s="40"/>
      <c r="AJ262" s="40"/>
      <c r="AK262" s="40"/>
      <c r="AL262" s="40"/>
      <c r="AM262" s="40"/>
      <c r="AN262" s="64" t="str">
        <f t="shared" si="215"/>
        <v>0xB0</v>
      </c>
    </row>
    <row r="263" hidden="1">
      <c r="A263" s="51" t="str">
        <f t="shared" si="2"/>
        <v>E911</v>
      </c>
      <c r="B263" s="52" t="str">
        <f>IFERROR(__xludf.DUMMYFUNCTION("REGEXREPLACE($H263, ""(?i)^8301(E000|E100|E200|E300)?"", """")"),"E91100630F424058F44882D1460205D06500B0")</f>
        <v>E91100630F424058F44882D1460205D06500B0</v>
      </c>
      <c r="C263" s="65" t="s">
        <v>477</v>
      </c>
      <c r="D263" s="65" t="s">
        <v>478</v>
      </c>
      <c r="E263" s="65" t="s">
        <v>106</v>
      </c>
      <c r="F263" s="65" t="s">
        <v>175</v>
      </c>
      <c r="G263" s="67">
        <v>46220.0</v>
      </c>
      <c r="H263" s="68" t="s">
        <v>381</v>
      </c>
      <c r="I263" s="65"/>
      <c r="J263" s="57" t="str">
        <f t="shared" si="3"/>
        <v>0x11</v>
      </c>
      <c r="K263" s="58" t="str">
        <f t="shared" si="4"/>
        <v>0x00</v>
      </c>
      <c r="L263" s="58" t="str">
        <f t="shared" si="5"/>
        <v>0x63</v>
      </c>
      <c r="M263" s="82">
        <v>2.0</v>
      </c>
      <c r="N263" s="83" t="str">
        <f t="shared" si="189"/>
        <v>0x0F</v>
      </c>
      <c r="O263" s="84" t="str">
        <f t="shared" si="190"/>
        <v>0x42</v>
      </c>
      <c r="P263" s="84" t="str">
        <f t="shared" si="191"/>
        <v>0x40</v>
      </c>
      <c r="Q263" s="85"/>
      <c r="R263" s="86"/>
      <c r="S263" s="85"/>
      <c r="T263" s="85"/>
      <c r="U263" s="85"/>
      <c r="V263" s="87">
        <v>15.0</v>
      </c>
      <c r="W263" s="58" t="str">
        <f t="shared" si="72"/>
        <v>0x58</v>
      </c>
      <c r="X263" s="58" t="str">
        <f t="shared" ref="X263:AG263" si="231">"0x" &amp; MID($B263,$V263  + 2*(COLUMN() - COLUMN($W263)), 2)</f>
        <v>0xF4</v>
      </c>
      <c r="Y263" s="58" t="str">
        <f t="shared" si="231"/>
        <v>0x48</v>
      </c>
      <c r="Z263" s="58" t="str">
        <f t="shared" si="231"/>
        <v>0x82</v>
      </c>
      <c r="AA263" s="58" t="str">
        <f t="shared" si="231"/>
        <v>0xD1</v>
      </c>
      <c r="AB263" s="58" t="str">
        <f t="shared" si="231"/>
        <v>0x46</v>
      </c>
      <c r="AC263" s="58" t="str">
        <f t="shared" si="231"/>
        <v>0x02</v>
      </c>
      <c r="AD263" s="58" t="str">
        <f t="shared" si="231"/>
        <v>0x05</v>
      </c>
      <c r="AE263" s="58" t="str">
        <f t="shared" si="231"/>
        <v>0xD0</v>
      </c>
      <c r="AF263" s="58" t="str">
        <f t="shared" si="231"/>
        <v>0x65</v>
      </c>
      <c r="AG263" s="58" t="str">
        <f t="shared" si="231"/>
        <v>0x00</v>
      </c>
      <c r="AH263" s="58"/>
      <c r="AI263" s="58"/>
      <c r="AJ263" s="58"/>
      <c r="AK263" s="58"/>
      <c r="AL263" s="58"/>
      <c r="AM263" s="58"/>
      <c r="AN263" s="74" t="str">
        <f t="shared" si="215"/>
        <v>0xB0</v>
      </c>
    </row>
    <row r="264">
      <c r="A264" s="33" t="str">
        <f t="shared" si="2"/>
        <v>E911</v>
      </c>
      <c r="B264" s="34" t="str">
        <f>IFERROR(__xludf.DUMMYFUNCTION("REGEXREPLACE($H264, ""(?i)^8301(E000|E100|E200|E300)?"", """")"),"E91100660F44445BF04040374894D13D051EB0")</f>
        <v>E91100660F44445BF04040374894D13D051EB0</v>
      </c>
      <c r="C264" s="36" t="s">
        <v>66</v>
      </c>
      <c r="D264" s="36" t="s">
        <v>478</v>
      </c>
      <c r="E264" s="36" t="s">
        <v>217</v>
      </c>
      <c r="F264" s="36" t="s">
        <v>218</v>
      </c>
      <c r="G264" s="37">
        <v>46244.0</v>
      </c>
      <c r="H264" s="38" t="s">
        <v>446</v>
      </c>
      <c r="I264" s="36" t="s">
        <v>153</v>
      </c>
      <c r="J264" s="39" t="str">
        <f t="shared" si="3"/>
        <v>0x11</v>
      </c>
      <c r="K264" s="40" t="str">
        <f t="shared" si="4"/>
        <v>0x00</v>
      </c>
      <c r="L264" s="40" t="str">
        <f t="shared" si="5"/>
        <v>0x66</v>
      </c>
      <c r="M264" s="77">
        <v>2.0</v>
      </c>
      <c r="N264" s="78" t="str">
        <f t="shared" si="189"/>
        <v>0x0F</v>
      </c>
      <c r="O264" s="72" t="str">
        <f t="shared" si="190"/>
        <v>0x44</v>
      </c>
      <c r="P264" s="72" t="str">
        <f t="shared" si="191"/>
        <v>0x44</v>
      </c>
      <c r="Q264" s="79"/>
      <c r="R264" s="80"/>
      <c r="S264" s="79"/>
      <c r="T264" s="79"/>
      <c r="U264" s="79"/>
      <c r="V264" s="81">
        <v>15.0</v>
      </c>
      <c r="W264" s="40" t="str">
        <f t="shared" si="72"/>
        <v>0x5B</v>
      </c>
      <c r="X264" s="40" t="str">
        <f t="shared" ref="X264:AG264" si="232">"0x" &amp; MID($B264,$V264  + 2*(COLUMN() - COLUMN($W264)), 2)</f>
        <v>0xF0</v>
      </c>
      <c r="Y264" s="40" t="str">
        <f t="shared" si="232"/>
        <v>0x40</v>
      </c>
      <c r="Z264" s="40" t="str">
        <f t="shared" si="232"/>
        <v>0x40</v>
      </c>
      <c r="AA264" s="40" t="str">
        <f t="shared" si="232"/>
        <v>0x37</v>
      </c>
      <c r="AB264" s="40" t="str">
        <f t="shared" si="232"/>
        <v>0x48</v>
      </c>
      <c r="AC264" s="40" t="str">
        <f t="shared" si="232"/>
        <v>0x94</v>
      </c>
      <c r="AD264" s="40" t="str">
        <f t="shared" si="232"/>
        <v>0xD1</v>
      </c>
      <c r="AE264" s="40" t="str">
        <f t="shared" si="232"/>
        <v>0x3D</v>
      </c>
      <c r="AF264" s="40" t="str">
        <f t="shared" si="232"/>
        <v>0x05</v>
      </c>
      <c r="AG264" s="40" t="str">
        <f t="shared" si="232"/>
        <v>0x1E</v>
      </c>
      <c r="AH264" s="40"/>
      <c r="AI264" s="40"/>
      <c r="AJ264" s="40"/>
      <c r="AK264" s="40"/>
      <c r="AL264" s="40"/>
      <c r="AM264" s="40"/>
      <c r="AN264" s="64" t="str">
        <f t="shared" si="215"/>
        <v>0xB0</v>
      </c>
    </row>
    <row r="265" hidden="1">
      <c r="A265" s="51" t="str">
        <f t="shared" si="2"/>
        <v>E911</v>
      </c>
      <c r="B265" s="52" t="str">
        <f>IFERROR(__xludf.DUMMYFUNCTION("REGEXREPLACE($H265, ""(?i)^8301(E000|E100|E200|E300)?"", """")"),"E91100680F534D58F44882D146050FD06500BA")</f>
        <v>E91100680F534D58F44882D146050FD06500BA</v>
      </c>
      <c r="C265" s="65" t="s">
        <v>477</v>
      </c>
      <c r="D265" s="65" t="s">
        <v>478</v>
      </c>
      <c r="E265" s="65" t="s">
        <v>129</v>
      </c>
      <c r="F265" s="65" t="s">
        <v>137</v>
      </c>
      <c r="G265" s="67">
        <v>46207.0</v>
      </c>
      <c r="H265" s="56" t="s">
        <v>382</v>
      </c>
      <c r="I265" s="65"/>
      <c r="J265" s="57" t="str">
        <f t="shared" si="3"/>
        <v>0x11</v>
      </c>
      <c r="K265" s="58" t="str">
        <f t="shared" si="4"/>
        <v>0x00</v>
      </c>
      <c r="L265" s="58" t="str">
        <f t="shared" si="5"/>
        <v>0x68</v>
      </c>
      <c r="M265" s="82">
        <v>2.0</v>
      </c>
      <c r="N265" s="83" t="str">
        <f t="shared" si="189"/>
        <v>0x0F</v>
      </c>
      <c r="O265" s="84" t="str">
        <f t="shared" si="190"/>
        <v>0x53</v>
      </c>
      <c r="P265" s="84" t="str">
        <f t="shared" si="191"/>
        <v>0x4D</v>
      </c>
      <c r="Q265" s="85"/>
      <c r="R265" s="86"/>
      <c r="S265" s="85"/>
      <c r="T265" s="85"/>
      <c r="U265" s="85"/>
      <c r="V265" s="87">
        <v>15.0</v>
      </c>
      <c r="W265" s="58" t="str">
        <f t="shared" si="72"/>
        <v>0x58</v>
      </c>
      <c r="X265" s="58" t="str">
        <f t="shared" ref="X265:AG265" si="233">"0x" &amp; MID($B265,$V265  + 2*(COLUMN() - COLUMN($W265)), 2)</f>
        <v>0xF4</v>
      </c>
      <c r="Y265" s="58" t="str">
        <f t="shared" si="233"/>
        <v>0x48</v>
      </c>
      <c r="Z265" s="58" t="str">
        <f t="shared" si="233"/>
        <v>0x82</v>
      </c>
      <c r="AA265" s="58" t="str">
        <f t="shared" si="233"/>
        <v>0xD1</v>
      </c>
      <c r="AB265" s="58" t="str">
        <f t="shared" si="233"/>
        <v>0x46</v>
      </c>
      <c r="AC265" s="58" t="str">
        <f t="shared" si="233"/>
        <v>0x05</v>
      </c>
      <c r="AD265" s="58" t="str">
        <f t="shared" si="233"/>
        <v>0x0F</v>
      </c>
      <c r="AE265" s="58" t="str">
        <f t="shared" si="233"/>
        <v>0xD0</v>
      </c>
      <c r="AF265" s="58" t="str">
        <f t="shared" si="233"/>
        <v>0x65</v>
      </c>
      <c r="AG265" s="58" t="str">
        <f t="shared" si="233"/>
        <v>0x00</v>
      </c>
      <c r="AH265" s="58"/>
      <c r="AI265" s="58"/>
      <c r="AJ265" s="58"/>
      <c r="AK265" s="58"/>
      <c r="AL265" s="58"/>
      <c r="AM265" s="58"/>
      <c r="AN265" s="74" t="str">
        <f t="shared" si="215"/>
        <v>0xBA</v>
      </c>
    </row>
    <row r="266" hidden="1">
      <c r="A266" s="33" t="str">
        <f t="shared" si="2"/>
        <v>E911</v>
      </c>
      <c r="B266" s="34" t="str">
        <f>IFERROR(__xludf.DUMMYFUNCTION("REGEXREPLACE($H266, ""(?i)^8301(E000|E100|E200|E300)?"", """")"),"E911006F0F404B58F44882D146020CD06519B0")</f>
        <v>E911006F0F404B58F44882D146020CD06519B0</v>
      </c>
      <c r="C266" s="36" t="s">
        <v>14</v>
      </c>
      <c r="D266" s="36" t="s">
        <v>283</v>
      </c>
      <c r="E266" s="36" t="s">
        <v>75</v>
      </c>
      <c r="F266" s="36" t="s">
        <v>76</v>
      </c>
      <c r="G266" s="37">
        <v>46208.0</v>
      </c>
      <c r="H266" s="38" t="s">
        <v>286</v>
      </c>
      <c r="I266" s="36"/>
      <c r="J266" s="39" t="str">
        <f t="shared" si="3"/>
        <v>0x11</v>
      </c>
      <c r="K266" s="40" t="str">
        <f t="shared" si="4"/>
        <v>0x00</v>
      </c>
      <c r="L266" s="40" t="str">
        <f t="shared" si="5"/>
        <v>0x6F</v>
      </c>
      <c r="M266" s="77">
        <v>2.0</v>
      </c>
      <c r="N266" s="78" t="str">
        <f t="shared" si="189"/>
        <v>0x0F</v>
      </c>
      <c r="O266" s="72" t="str">
        <f t="shared" si="190"/>
        <v>0x40</v>
      </c>
      <c r="P266" s="72" t="str">
        <f t="shared" si="191"/>
        <v>0x4B</v>
      </c>
      <c r="Q266" s="79"/>
      <c r="R266" s="80"/>
      <c r="S266" s="79"/>
      <c r="T266" s="79"/>
      <c r="U266" s="79"/>
      <c r="V266" s="81">
        <v>15.0</v>
      </c>
      <c r="W266" s="40" t="str">
        <f t="shared" si="72"/>
        <v>0x58</v>
      </c>
      <c r="X266" s="40" t="str">
        <f t="shared" ref="X266:AG266" si="234">"0x" &amp; MID($B266,$V266  + 2*(COLUMN() - COLUMN($W266)), 2)</f>
        <v>0xF4</v>
      </c>
      <c r="Y266" s="40" t="str">
        <f t="shared" si="234"/>
        <v>0x48</v>
      </c>
      <c r="Z266" s="40" t="str">
        <f t="shared" si="234"/>
        <v>0x82</v>
      </c>
      <c r="AA266" s="40" t="str">
        <f t="shared" si="234"/>
        <v>0xD1</v>
      </c>
      <c r="AB266" s="40" t="str">
        <f t="shared" si="234"/>
        <v>0x46</v>
      </c>
      <c r="AC266" s="40" t="str">
        <f t="shared" si="234"/>
        <v>0x02</v>
      </c>
      <c r="AD266" s="40" t="str">
        <f t="shared" si="234"/>
        <v>0x0C</v>
      </c>
      <c r="AE266" s="40" t="str">
        <f t="shared" si="234"/>
        <v>0xD0</v>
      </c>
      <c r="AF266" s="40" t="str">
        <f t="shared" si="234"/>
        <v>0x65</v>
      </c>
      <c r="AG266" s="40" t="str">
        <f t="shared" si="234"/>
        <v>0x19</v>
      </c>
      <c r="AH266" s="40"/>
      <c r="AI266" s="40"/>
      <c r="AJ266" s="40"/>
      <c r="AK266" s="40"/>
      <c r="AL266" s="40"/>
      <c r="AM266" s="40"/>
      <c r="AN266" s="64" t="str">
        <f t="shared" si="215"/>
        <v>0xB0</v>
      </c>
    </row>
    <row r="267" hidden="1">
      <c r="A267" s="51" t="str">
        <f t="shared" si="2"/>
        <v>E911</v>
      </c>
      <c r="B267" s="52" t="str">
        <f>IFERROR(__xludf.DUMMYFUNCTION("REGEXREPLACE($H267, ""(?i)^8301(E000|E100|E200|E300)?"", """")"),"E911006F0F445B58F44882D1460609D06543B0")</f>
        <v>E911006F0F445B58F44882D1460609D06543B0</v>
      </c>
      <c r="C267" s="65" t="s">
        <v>484</v>
      </c>
      <c r="D267" s="65" t="s">
        <v>496</v>
      </c>
      <c r="E267" s="65" t="s">
        <v>75</v>
      </c>
      <c r="F267" s="65" t="s">
        <v>76</v>
      </c>
      <c r="G267" s="67">
        <v>46208.0</v>
      </c>
      <c r="H267" s="68" t="s">
        <v>384</v>
      </c>
      <c r="I267" s="65"/>
      <c r="J267" s="57" t="str">
        <f t="shared" si="3"/>
        <v>0x11</v>
      </c>
      <c r="K267" s="58" t="str">
        <f t="shared" si="4"/>
        <v>0x00</v>
      </c>
      <c r="L267" s="58" t="str">
        <f t="shared" si="5"/>
        <v>0x6F</v>
      </c>
      <c r="M267" s="82">
        <v>2.0</v>
      </c>
      <c r="N267" s="83" t="str">
        <f t="shared" si="189"/>
        <v>0x0F</v>
      </c>
      <c r="O267" s="84" t="str">
        <f t="shared" si="190"/>
        <v>0x44</v>
      </c>
      <c r="P267" s="84" t="str">
        <f t="shared" si="191"/>
        <v>0x5B</v>
      </c>
      <c r="Q267" s="85"/>
      <c r="R267" s="86"/>
      <c r="S267" s="85"/>
      <c r="T267" s="85"/>
      <c r="U267" s="85"/>
      <c r="V267" s="87">
        <v>15.0</v>
      </c>
      <c r="W267" s="58" t="str">
        <f t="shared" si="72"/>
        <v>0x58</v>
      </c>
      <c r="X267" s="58" t="str">
        <f t="shared" ref="X267:AG267" si="235">"0x" &amp; MID($B267,$V267  + 2*(COLUMN() - COLUMN($W267)), 2)</f>
        <v>0xF4</v>
      </c>
      <c r="Y267" s="58" t="str">
        <f t="shared" si="235"/>
        <v>0x48</v>
      </c>
      <c r="Z267" s="58" t="str">
        <f t="shared" si="235"/>
        <v>0x82</v>
      </c>
      <c r="AA267" s="58" t="str">
        <f t="shared" si="235"/>
        <v>0xD1</v>
      </c>
      <c r="AB267" s="58" t="str">
        <f t="shared" si="235"/>
        <v>0x46</v>
      </c>
      <c r="AC267" s="58" t="str">
        <f t="shared" si="235"/>
        <v>0x06</v>
      </c>
      <c r="AD267" s="58" t="str">
        <f t="shared" si="235"/>
        <v>0x09</v>
      </c>
      <c r="AE267" s="58" t="str">
        <f t="shared" si="235"/>
        <v>0xD0</v>
      </c>
      <c r="AF267" s="58" t="str">
        <f t="shared" si="235"/>
        <v>0x65</v>
      </c>
      <c r="AG267" s="58" t="str">
        <f t="shared" si="235"/>
        <v>0x43</v>
      </c>
      <c r="AH267" s="58"/>
      <c r="AI267" s="58"/>
      <c r="AJ267" s="58"/>
      <c r="AK267" s="58"/>
      <c r="AL267" s="58"/>
      <c r="AM267" s="58"/>
      <c r="AN267" s="74" t="str">
        <f t="shared" si="215"/>
        <v>0xB0</v>
      </c>
    </row>
    <row r="268" hidden="1">
      <c r="A268" s="33" t="str">
        <f t="shared" si="2"/>
        <v>E911</v>
      </c>
      <c r="B268" s="34" t="str">
        <f>IFERROR(__xludf.DUMMYFUNCTION("REGEXREPLACE($H268, ""(?i)^8301(E000|E100|E200|E300)?"", """")"),"E911006F0F564858F44882D1460208D06500B0")</f>
        <v>E911006F0F564858F44882D1460208D06500B0</v>
      </c>
      <c r="C268" s="36" t="s">
        <v>477</v>
      </c>
      <c r="D268" s="36" t="s">
        <v>478</v>
      </c>
      <c r="E268" s="36" t="s">
        <v>75</v>
      </c>
      <c r="F268" s="36" t="s">
        <v>120</v>
      </c>
      <c r="G268" s="37">
        <v>46219.0</v>
      </c>
      <c r="H268" s="38" t="s">
        <v>385</v>
      </c>
      <c r="I268" s="36"/>
      <c r="J268" s="39" t="str">
        <f t="shared" si="3"/>
        <v>0x11</v>
      </c>
      <c r="K268" s="40" t="str">
        <f t="shared" si="4"/>
        <v>0x00</v>
      </c>
      <c r="L268" s="40" t="str">
        <f t="shared" si="5"/>
        <v>0x6F</v>
      </c>
      <c r="M268" s="77">
        <v>2.0</v>
      </c>
      <c r="N268" s="78" t="str">
        <f t="shared" si="189"/>
        <v>0x0F</v>
      </c>
      <c r="O268" s="72" t="str">
        <f t="shared" si="190"/>
        <v>0x56</v>
      </c>
      <c r="P268" s="72" t="str">
        <f t="shared" si="191"/>
        <v>0x48</v>
      </c>
      <c r="Q268" s="79"/>
      <c r="R268" s="80"/>
      <c r="S268" s="79"/>
      <c r="T268" s="79"/>
      <c r="U268" s="79"/>
      <c r="V268" s="81">
        <v>15.0</v>
      </c>
      <c r="W268" s="40" t="str">
        <f t="shared" si="72"/>
        <v>0x58</v>
      </c>
      <c r="X268" s="40" t="str">
        <f t="shared" ref="X268:AG268" si="236">"0x" &amp; MID($B268,$V268  + 2*(COLUMN() - COLUMN($W268)), 2)</f>
        <v>0xF4</v>
      </c>
      <c r="Y268" s="40" t="str">
        <f t="shared" si="236"/>
        <v>0x48</v>
      </c>
      <c r="Z268" s="40" t="str">
        <f t="shared" si="236"/>
        <v>0x82</v>
      </c>
      <c r="AA268" s="40" t="str">
        <f t="shared" si="236"/>
        <v>0xD1</v>
      </c>
      <c r="AB268" s="40" t="str">
        <f t="shared" si="236"/>
        <v>0x46</v>
      </c>
      <c r="AC268" s="40" t="str">
        <f t="shared" si="236"/>
        <v>0x02</v>
      </c>
      <c r="AD268" s="40" t="str">
        <f t="shared" si="236"/>
        <v>0x08</v>
      </c>
      <c r="AE268" s="40" t="str">
        <f t="shared" si="236"/>
        <v>0xD0</v>
      </c>
      <c r="AF268" s="40" t="str">
        <f t="shared" si="236"/>
        <v>0x65</v>
      </c>
      <c r="AG268" s="40" t="str">
        <f t="shared" si="236"/>
        <v>0x00</v>
      </c>
      <c r="AH268" s="40"/>
      <c r="AI268" s="40"/>
      <c r="AJ268" s="40"/>
      <c r="AK268" s="40"/>
      <c r="AL268" s="40"/>
      <c r="AM268" s="40"/>
      <c r="AN268" s="64" t="str">
        <f t="shared" si="215"/>
        <v>0xB0</v>
      </c>
    </row>
    <row r="269" hidden="1">
      <c r="A269" s="51" t="str">
        <f t="shared" si="2"/>
        <v>E911</v>
      </c>
      <c r="B269" s="52" t="str">
        <f>IFERROR(__xludf.DUMMYFUNCTION("REGEXREPLACE($H269, ""(?i)^8301(E000|E100|E200|E300)?"", """")"),"E91100870F565958F44882D1460513D06500B0")</f>
        <v>E91100870F565958F44882D1460513D06500B0</v>
      </c>
      <c r="C269" s="65" t="s">
        <v>477</v>
      </c>
      <c r="D269" s="65" t="s">
        <v>478</v>
      </c>
      <c r="E269" s="65" t="s">
        <v>106</v>
      </c>
      <c r="F269" s="65" t="s">
        <v>175</v>
      </c>
      <c r="G269" s="67">
        <v>46220.0</v>
      </c>
      <c r="H269" s="68" t="s">
        <v>386</v>
      </c>
      <c r="I269" s="65"/>
      <c r="J269" s="57" t="str">
        <f t="shared" si="3"/>
        <v>0x11</v>
      </c>
      <c r="K269" s="58" t="str">
        <f t="shared" si="4"/>
        <v>0x00</v>
      </c>
      <c r="L269" s="58" t="str">
        <f t="shared" si="5"/>
        <v>0x87</v>
      </c>
      <c r="M269" s="82">
        <v>2.0</v>
      </c>
      <c r="N269" s="83" t="str">
        <f t="shared" si="189"/>
        <v>0x0F</v>
      </c>
      <c r="O269" s="84" t="str">
        <f t="shared" si="190"/>
        <v>0x56</v>
      </c>
      <c r="P269" s="84" t="str">
        <f t="shared" si="191"/>
        <v>0x59</v>
      </c>
      <c r="Q269" s="85"/>
      <c r="R269" s="86"/>
      <c r="S269" s="85"/>
      <c r="T269" s="85"/>
      <c r="U269" s="85"/>
      <c r="V269" s="87">
        <v>15.0</v>
      </c>
      <c r="W269" s="58" t="str">
        <f t="shared" si="72"/>
        <v>0x58</v>
      </c>
      <c r="X269" s="58" t="str">
        <f t="shared" ref="X269:AG269" si="237">"0x" &amp; MID($B269,$V269  + 2*(COLUMN() - COLUMN($W269)), 2)</f>
        <v>0xF4</v>
      </c>
      <c r="Y269" s="58" t="str">
        <f t="shared" si="237"/>
        <v>0x48</v>
      </c>
      <c r="Z269" s="58" t="str">
        <f t="shared" si="237"/>
        <v>0x82</v>
      </c>
      <c r="AA269" s="58" t="str">
        <f t="shared" si="237"/>
        <v>0xD1</v>
      </c>
      <c r="AB269" s="58" t="str">
        <f t="shared" si="237"/>
        <v>0x46</v>
      </c>
      <c r="AC269" s="58" t="str">
        <f t="shared" si="237"/>
        <v>0x05</v>
      </c>
      <c r="AD269" s="58" t="str">
        <f t="shared" si="237"/>
        <v>0x13</v>
      </c>
      <c r="AE269" s="58" t="str">
        <f t="shared" si="237"/>
        <v>0xD0</v>
      </c>
      <c r="AF269" s="58" t="str">
        <f t="shared" si="237"/>
        <v>0x65</v>
      </c>
      <c r="AG269" s="58" t="str">
        <f t="shared" si="237"/>
        <v>0x00</v>
      </c>
      <c r="AH269" s="58"/>
      <c r="AI269" s="58"/>
      <c r="AJ269" s="58"/>
      <c r="AK269" s="58"/>
      <c r="AL269" s="58"/>
      <c r="AM269" s="58"/>
      <c r="AN269" s="74" t="str">
        <f t="shared" si="215"/>
        <v>0xB0</v>
      </c>
    </row>
    <row r="270" hidden="1">
      <c r="A270" s="33" t="str">
        <f t="shared" si="2"/>
        <v>E911</v>
      </c>
      <c r="B270" s="34" t="str">
        <f>IFERROR(__xludf.DUMMYFUNCTION("REGEXREPLACE($H270, ""(?i)^8301(E000|E100|E200|E300)?"", """")"),"E911008F0F535C58F44882D1460207D06558B0")</f>
        <v>E911008F0F535C58F44882D1460207D06558B0</v>
      </c>
      <c r="C270" s="36" t="s">
        <v>60</v>
      </c>
      <c r="D270" s="36" t="s">
        <v>516</v>
      </c>
      <c r="E270" s="36" t="s">
        <v>75</v>
      </c>
      <c r="F270" s="36" t="s">
        <v>76</v>
      </c>
      <c r="G270" s="37">
        <v>46208.0</v>
      </c>
      <c r="H270" s="38" t="s">
        <v>387</v>
      </c>
      <c r="I270" s="36"/>
      <c r="J270" s="39" t="str">
        <f t="shared" si="3"/>
        <v>0x11</v>
      </c>
      <c r="K270" s="40" t="str">
        <f t="shared" si="4"/>
        <v>0x00</v>
      </c>
      <c r="L270" s="40" t="str">
        <f t="shared" si="5"/>
        <v>0x8F</v>
      </c>
      <c r="M270" s="77">
        <v>2.0</v>
      </c>
      <c r="N270" s="78" t="str">
        <f t="shared" si="189"/>
        <v>0x0F</v>
      </c>
      <c r="O270" s="72" t="str">
        <f t="shared" si="190"/>
        <v>0x53</v>
      </c>
      <c r="P270" s="72" t="str">
        <f t="shared" si="191"/>
        <v>0x5C</v>
      </c>
      <c r="Q270" s="79"/>
      <c r="R270" s="80"/>
      <c r="S270" s="79"/>
      <c r="T270" s="79"/>
      <c r="U270" s="79"/>
      <c r="V270" s="81">
        <v>15.0</v>
      </c>
      <c r="W270" s="40" t="str">
        <f t="shared" si="72"/>
        <v>0x58</v>
      </c>
      <c r="X270" s="40" t="str">
        <f t="shared" ref="X270:AG270" si="238">"0x" &amp; MID($B270,$V270  + 2*(COLUMN() - COLUMN($W270)), 2)</f>
        <v>0xF4</v>
      </c>
      <c r="Y270" s="40" t="str">
        <f t="shared" si="238"/>
        <v>0x48</v>
      </c>
      <c r="Z270" s="40" t="str">
        <f t="shared" si="238"/>
        <v>0x82</v>
      </c>
      <c r="AA270" s="40" t="str">
        <f t="shared" si="238"/>
        <v>0xD1</v>
      </c>
      <c r="AB270" s="40" t="str">
        <f t="shared" si="238"/>
        <v>0x46</v>
      </c>
      <c r="AC270" s="40" t="str">
        <f t="shared" si="238"/>
        <v>0x02</v>
      </c>
      <c r="AD270" s="40" t="str">
        <f t="shared" si="238"/>
        <v>0x07</v>
      </c>
      <c r="AE270" s="40" t="str">
        <f t="shared" si="238"/>
        <v>0xD0</v>
      </c>
      <c r="AF270" s="40" t="str">
        <f t="shared" si="238"/>
        <v>0x65</v>
      </c>
      <c r="AG270" s="40" t="str">
        <f t="shared" si="238"/>
        <v>0x58</v>
      </c>
      <c r="AH270" s="40"/>
      <c r="AI270" s="40"/>
      <c r="AJ270" s="40"/>
      <c r="AK270" s="40"/>
      <c r="AL270" s="40"/>
      <c r="AM270" s="40"/>
      <c r="AN270" s="64" t="str">
        <f t="shared" si="215"/>
        <v>0xB0</v>
      </c>
    </row>
    <row r="271" hidden="1">
      <c r="A271" s="51" t="str">
        <f t="shared" si="2"/>
        <v>E911</v>
      </c>
      <c r="B271" s="52" t="str">
        <f>IFERROR(__xludf.DUMMYFUNCTION("REGEXREPLACE($H271, ""(?i)^8301(E000|E100|E200|E300)?"", """")"),"E911008F0F594258F44882D146020DD06558B0")</f>
        <v>E911008F0F594258F44882D146020DD06558B0</v>
      </c>
      <c r="C271" s="65" t="s">
        <v>60</v>
      </c>
      <c r="D271" s="65" t="s">
        <v>516</v>
      </c>
      <c r="E271" s="54" t="s">
        <v>75</v>
      </c>
      <c r="F271" s="54" t="s">
        <v>76</v>
      </c>
      <c r="G271" s="55">
        <v>46235.0</v>
      </c>
      <c r="H271" s="56" t="s">
        <v>388</v>
      </c>
      <c r="I271" s="65"/>
      <c r="J271" s="57" t="str">
        <f t="shared" si="3"/>
        <v>0x11</v>
      </c>
      <c r="K271" s="58" t="str">
        <f t="shared" si="4"/>
        <v>0x00</v>
      </c>
      <c r="L271" s="58" t="str">
        <f t="shared" si="5"/>
        <v>0x8F</v>
      </c>
      <c r="M271" s="82">
        <v>2.0</v>
      </c>
      <c r="N271" s="83" t="str">
        <f t="shared" si="189"/>
        <v>0x0F</v>
      </c>
      <c r="O271" s="84" t="str">
        <f t="shared" si="190"/>
        <v>0x59</v>
      </c>
      <c r="P271" s="84" t="str">
        <f t="shared" si="191"/>
        <v>0x42</v>
      </c>
      <c r="Q271" s="85"/>
      <c r="R271" s="86"/>
      <c r="S271" s="85"/>
      <c r="T271" s="85"/>
      <c r="U271" s="85"/>
      <c r="V271" s="87">
        <v>15.0</v>
      </c>
      <c r="W271" s="58" t="str">
        <f t="shared" si="72"/>
        <v>0x58</v>
      </c>
      <c r="X271" s="58" t="str">
        <f t="shared" ref="X271:AG271" si="239">"0x" &amp; MID($B271,$V271  + 2*(COLUMN() - COLUMN($W271)), 2)</f>
        <v>0xF4</v>
      </c>
      <c r="Y271" s="58" t="str">
        <f t="shared" si="239"/>
        <v>0x48</v>
      </c>
      <c r="Z271" s="58" t="str">
        <f t="shared" si="239"/>
        <v>0x82</v>
      </c>
      <c r="AA271" s="58" t="str">
        <f t="shared" si="239"/>
        <v>0xD1</v>
      </c>
      <c r="AB271" s="58" t="str">
        <f t="shared" si="239"/>
        <v>0x46</v>
      </c>
      <c r="AC271" s="58" t="str">
        <f t="shared" si="239"/>
        <v>0x02</v>
      </c>
      <c r="AD271" s="58" t="str">
        <f t="shared" si="239"/>
        <v>0x0D</v>
      </c>
      <c r="AE271" s="58" t="str">
        <f t="shared" si="239"/>
        <v>0xD0</v>
      </c>
      <c r="AF271" s="58" t="str">
        <f t="shared" si="239"/>
        <v>0x65</v>
      </c>
      <c r="AG271" s="58" t="str">
        <f t="shared" si="239"/>
        <v>0x58</v>
      </c>
      <c r="AH271" s="58"/>
      <c r="AI271" s="58"/>
      <c r="AJ271" s="58"/>
      <c r="AK271" s="58"/>
      <c r="AL271" s="58"/>
      <c r="AM271" s="58"/>
      <c r="AN271" s="74" t="str">
        <f t="shared" si="215"/>
        <v>0xB0</v>
      </c>
    </row>
    <row r="272" hidden="1">
      <c r="A272" s="33" t="str">
        <f t="shared" si="2"/>
        <v>E911</v>
      </c>
      <c r="B272" s="34" t="str">
        <f>IFERROR(__xludf.DUMMYFUNCTION("REGEXREPLACE($H272, ""(?i)^8301(E000|E100|E200|E300)?"", """")"),"E911008F0F5B5D58F44882D146052BD06538B0")</f>
        <v>E911008F0F5B5D58F44882D146052BD06538B0</v>
      </c>
      <c r="C272" s="36" t="s">
        <v>25</v>
      </c>
      <c r="D272" s="35"/>
      <c r="E272" s="41" t="s">
        <v>75</v>
      </c>
      <c r="F272" s="41" t="s">
        <v>76</v>
      </c>
      <c r="G272" s="43">
        <v>46235.0</v>
      </c>
      <c r="H272" s="44" t="s">
        <v>402</v>
      </c>
      <c r="I272" s="36"/>
      <c r="J272" s="39" t="str">
        <f t="shared" si="3"/>
        <v>0x11</v>
      </c>
      <c r="K272" s="40" t="str">
        <f t="shared" si="4"/>
        <v>0x00</v>
      </c>
      <c r="L272" s="40" t="str">
        <f t="shared" si="5"/>
        <v>0x8F</v>
      </c>
      <c r="M272" s="77">
        <v>2.0</v>
      </c>
      <c r="N272" s="78" t="str">
        <f t="shared" si="189"/>
        <v>0x0F</v>
      </c>
      <c r="O272" s="72" t="str">
        <f t="shared" si="190"/>
        <v>0x5B</v>
      </c>
      <c r="P272" s="72" t="str">
        <f t="shared" si="191"/>
        <v>0x5D</v>
      </c>
      <c r="Q272" s="79"/>
      <c r="R272" s="80"/>
      <c r="S272" s="79"/>
      <c r="T272" s="79"/>
      <c r="U272" s="79"/>
      <c r="V272" s="81">
        <v>15.0</v>
      </c>
      <c r="W272" s="40" t="str">
        <f t="shared" si="72"/>
        <v>0x58</v>
      </c>
      <c r="X272" s="40" t="str">
        <f t="shared" ref="X272:AG272" si="240">"0x" &amp; MID($B272,$V272  + 2*(COLUMN() - COLUMN($W272)), 2)</f>
        <v>0xF4</v>
      </c>
      <c r="Y272" s="40" t="str">
        <f t="shared" si="240"/>
        <v>0x48</v>
      </c>
      <c r="Z272" s="40" t="str">
        <f t="shared" si="240"/>
        <v>0x82</v>
      </c>
      <c r="AA272" s="40" t="str">
        <f t="shared" si="240"/>
        <v>0xD1</v>
      </c>
      <c r="AB272" s="40" t="str">
        <f t="shared" si="240"/>
        <v>0x46</v>
      </c>
      <c r="AC272" s="40" t="str">
        <f t="shared" si="240"/>
        <v>0x05</v>
      </c>
      <c r="AD272" s="40" t="str">
        <f t="shared" si="240"/>
        <v>0x2B</v>
      </c>
      <c r="AE272" s="40" t="str">
        <f t="shared" si="240"/>
        <v>0xD0</v>
      </c>
      <c r="AF272" s="40" t="str">
        <f t="shared" si="240"/>
        <v>0x65</v>
      </c>
      <c r="AG272" s="40" t="str">
        <f t="shared" si="240"/>
        <v>0x38</v>
      </c>
      <c r="AH272" s="40"/>
      <c r="AI272" s="40"/>
      <c r="AJ272" s="40"/>
      <c r="AK272" s="40"/>
      <c r="AL272" s="40"/>
      <c r="AM272" s="40"/>
      <c r="AN272" s="64" t="str">
        <f t="shared" si="215"/>
        <v>0xB0</v>
      </c>
    </row>
    <row r="273" hidden="1">
      <c r="A273" s="51" t="str">
        <f t="shared" si="2"/>
        <v>E911</v>
      </c>
      <c r="B273" s="52" t="str">
        <f>IFERROR(__xludf.DUMMYFUNCTION("REGEXREPLACE($H273, ""(?i)^8301(E000|E100|E200|E300)?"", """")"),"E911009F0F5B5D58F44882D146052BD06538B0")</f>
        <v>E911009F0F5B5D58F44882D146052BD06538B0</v>
      </c>
      <c r="C273" s="65" t="s">
        <v>25</v>
      </c>
      <c r="D273" s="53"/>
      <c r="E273" s="65" t="s">
        <v>75</v>
      </c>
      <c r="F273" s="65" t="s">
        <v>76</v>
      </c>
      <c r="G273" s="67">
        <v>46228.0</v>
      </c>
      <c r="H273" s="68" t="s">
        <v>390</v>
      </c>
      <c r="I273" s="65"/>
      <c r="J273" s="57" t="str">
        <f t="shared" si="3"/>
        <v>0x11</v>
      </c>
      <c r="K273" s="58" t="str">
        <f t="shared" si="4"/>
        <v>0x00</v>
      </c>
      <c r="L273" s="58" t="str">
        <f t="shared" si="5"/>
        <v>0x9F</v>
      </c>
      <c r="M273" s="82">
        <v>2.0</v>
      </c>
      <c r="N273" s="83" t="str">
        <f t="shared" si="189"/>
        <v>0x0F</v>
      </c>
      <c r="O273" s="84" t="str">
        <f t="shared" si="190"/>
        <v>0x5B</v>
      </c>
      <c r="P273" s="84" t="str">
        <f t="shared" si="191"/>
        <v>0x5D</v>
      </c>
      <c r="Q273" s="85"/>
      <c r="R273" s="86"/>
      <c r="S273" s="85"/>
      <c r="T273" s="85"/>
      <c r="U273" s="85"/>
      <c r="V273" s="87">
        <v>15.0</v>
      </c>
      <c r="W273" s="58" t="str">
        <f t="shared" si="72"/>
        <v>0x58</v>
      </c>
      <c r="X273" s="58" t="str">
        <f t="shared" ref="X273:AG273" si="241">"0x" &amp; MID($B273,$V273  + 2*(COLUMN() - COLUMN($W273)), 2)</f>
        <v>0xF4</v>
      </c>
      <c r="Y273" s="58" t="str">
        <f t="shared" si="241"/>
        <v>0x48</v>
      </c>
      <c r="Z273" s="58" t="str">
        <f t="shared" si="241"/>
        <v>0x82</v>
      </c>
      <c r="AA273" s="58" t="str">
        <f t="shared" si="241"/>
        <v>0xD1</v>
      </c>
      <c r="AB273" s="58" t="str">
        <f t="shared" si="241"/>
        <v>0x46</v>
      </c>
      <c r="AC273" s="58" t="str">
        <f t="shared" si="241"/>
        <v>0x05</v>
      </c>
      <c r="AD273" s="58" t="str">
        <f t="shared" si="241"/>
        <v>0x2B</v>
      </c>
      <c r="AE273" s="58" t="str">
        <f t="shared" si="241"/>
        <v>0xD0</v>
      </c>
      <c r="AF273" s="58" t="str">
        <f t="shared" si="241"/>
        <v>0x65</v>
      </c>
      <c r="AG273" s="58" t="str">
        <f t="shared" si="241"/>
        <v>0x38</v>
      </c>
      <c r="AH273" s="58"/>
      <c r="AI273" s="58"/>
      <c r="AJ273" s="58"/>
      <c r="AK273" s="58"/>
      <c r="AL273" s="58"/>
      <c r="AM273" s="58"/>
      <c r="AN273" s="74" t="str">
        <f t="shared" si="215"/>
        <v>0xB0</v>
      </c>
    </row>
    <row r="274" hidden="1">
      <c r="A274" s="33" t="str">
        <f t="shared" si="2"/>
        <v>E911</v>
      </c>
      <c r="B274" s="34" t="str">
        <f>IFERROR(__xludf.DUMMYFUNCTION("REGEXREPLACE($H274, ""(?i)^8301(E000|E100|E200|E300)?"", """")"),"E91100AF0F5B5D58F44882D146052BD06538B0")</f>
        <v>E91100AF0F5B5D58F44882D146052BD06538B0</v>
      </c>
      <c r="C274" s="36" t="s">
        <v>25</v>
      </c>
      <c r="D274" s="35"/>
      <c r="E274" s="36" t="s">
        <v>75</v>
      </c>
      <c r="F274" s="36" t="s">
        <v>76</v>
      </c>
      <c r="G274" s="37">
        <v>46208.0</v>
      </c>
      <c r="H274" s="38" t="s">
        <v>391</v>
      </c>
      <c r="I274" s="36"/>
      <c r="J274" s="39" t="str">
        <f t="shared" si="3"/>
        <v>0x11</v>
      </c>
      <c r="K274" s="40" t="str">
        <f t="shared" si="4"/>
        <v>0x00</v>
      </c>
      <c r="L274" s="40" t="str">
        <f t="shared" si="5"/>
        <v>0xAF</v>
      </c>
      <c r="M274" s="77">
        <v>2.0</v>
      </c>
      <c r="N274" s="78" t="str">
        <f t="shared" si="189"/>
        <v>0x0F</v>
      </c>
      <c r="O274" s="72" t="str">
        <f t="shared" si="190"/>
        <v>0x5B</v>
      </c>
      <c r="P274" s="72" t="str">
        <f t="shared" si="191"/>
        <v>0x5D</v>
      </c>
      <c r="Q274" s="79"/>
      <c r="R274" s="80"/>
      <c r="S274" s="79"/>
      <c r="T274" s="79"/>
      <c r="U274" s="79"/>
      <c r="V274" s="81">
        <v>15.0</v>
      </c>
      <c r="W274" s="40" t="str">
        <f t="shared" si="72"/>
        <v>0x58</v>
      </c>
      <c r="X274" s="40" t="str">
        <f t="shared" ref="X274:AG274" si="242">"0x" &amp; MID($B274,$V274  + 2*(COLUMN() - COLUMN($W274)), 2)</f>
        <v>0xF4</v>
      </c>
      <c r="Y274" s="40" t="str">
        <f t="shared" si="242"/>
        <v>0x48</v>
      </c>
      <c r="Z274" s="40" t="str">
        <f t="shared" si="242"/>
        <v>0x82</v>
      </c>
      <c r="AA274" s="40" t="str">
        <f t="shared" si="242"/>
        <v>0xD1</v>
      </c>
      <c r="AB274" s="40" t="str">
        <f t="shared" si="242"/>
        <v>0x46</v>
      </c>
      <c r="AC274" s="40" t="str">
        <f t="shared" si="242"/>
        <v>0x05</v>
      </c>
      <c r="AD274" s="40" t="str">
        <f t="shared" si="242"/>
        <v>0x2B</v>
      </c>
      <c r="AE274" s="40" t="str">
        <f t="shared" si="242"/>
        <v>0xD0</v>
      </c>
      <c r="AF274" s="40" t="str">
        <f t="shared" si="242"/>
        <v>0x65</v>
      </c>
      <c r="AG274" s="40" t="str">
        <f t="shared" si="242"/>
        <v>0x38</v>
      </c>
      <c r="AH274" s="40"/>
      <c r="AI274" s="40"/>
      <c r="AJ274" s="40"/>
      <c r="AK274" s="40"/>
      <c r="AL274" s="40"/>
      <c r="AM274" s="40"/>
      <c r="AN274" s="64" t="str">
        <f t="shared" si="215"/>
        <v>0xB0</v>
      </c>
    </row>
    <row r="275" hidden="1">
      <c r="A275" s="51" t="str">
        <f t="shared" si="2"/>
        <v>E911</v>
      </c>
      <c r="B275" s="52" t="str">
        <f>IFERROR(__xludf.DUMMYFUNCTION("REGEXREPLACE($H275, ""(?i)^8301(E000|E100|E200|E300)?"", """")"),"E91100C10FA2B2B9ACB530D037F4D246001978")</f>
        <v>E91100C10FA2B2B9ACB530D037F4D246001978</v>
      </c>
      <c r="C275" s="65" t="s">
        <v>14</v>
      </c>
      <c r="D275" s="65" t="s">
        <v>118</v>
      </c>
      <c r="E275" s="65" t="s">
        <v>106</v>
      </c>
      <c r="F275" s="65" t="s">
        <v>107</v>
      </c>
      <c r="G275" s="67">
        <v>46220.0</v>
      </c>
      <c r="H275" s="68" t="s">
        <v>310</v>
      </c>
      <c r="I275" s="65"/>
      <c r="J275" s="57" t="str">
        <f t="shared" si="3"/>
        <v>0x11</v>
      </c>
      <c r="K275" s="58" t="str">
        <f t="shared" si="4"/>
        <v>0x00</v>
      </c>
      <c r="L275" s="58" t="str">
        <f t="shared" si="5"/>
        <v>0xC1</v>
      </c>
      <c r="M275" s="59">
        <v>5.0</v>
      </c>
      <c r="N275" s="59" t="str">
        <f t="shared" si="189"/>
        <v>0x0F</v>
      </c>
      <c r="O275" s="71" t="str">
        <f t="shared" si="190"/>
        <v>0xA2</v>
      </c>
      <c r="P275" s="71" t="str">
        <f t="shared" si="191"/>
        <v>0xB2</v>
      </c>
      <c r="Q275" s="71" t="str">
        <f t="shared" ref="Q275:Q278" si="244">"0x"&amp;MID($B275,15,2)</f>
        <v>0xB9</v>
      </c>
      <c r="R275" s="59"/>
      <c r="S275" s="71" t="str">
        <f t="shared" ref="S275:S278" si="245">"0x"&amp;MID($B275,17,2)</f>
        <v>0xAC</v>
      </c>
      <c r="T275" s="71" t="str">
        <f t="shared" ref="T275:T278" si="246">"0x"&amp;MID($B275,19,2)</f>
        <v>0xB5</v>
      </c>
      <c r="U275" s="71"/>
      <c r="V275" s="58">
        <v>21.0</v>
      </c>
      <c r="W275" s="58" t="str">
        <f t="shared" si="72"/>
        <v>0x30</v>
      </c>
      <c r="X275" s="58" t="str">
        <f t="shared" ref="X275:AE275" si="243">"0x" &amp; MID($B275,$V275  + 2*(COLUMN() - COLUMN($W275)), 2)</f>
        <v>0xD0</v>
      </c>
      <c r="Y275" s="58" t="str">
        <f t="shared" si="243"/>
        <v>0x37</v>
      </c>
      <c r="Z275" s="58" t="str">
        <f t="shared" si="243"/>
        <v>0xF4</v>
      </c>
      <c r="AA275" s="58" t="str">
        <f t="shared" si="243"/>
        <v>0xD2</v>
      </c>
      <c r="AB275" s="58" t="str">
        <f t="shared" si="243"/>
        <v>0x46</v>
      </c>
      <c r="AC275" s="58" t="str">
        <f t="shared" si="243"/>
        <v>0x00</v>
      </c>
      <c r="AD275" s="58" t="str">
        <f t="shared" si="243"/>
        <v>0x19</v>
      </c>
      <c r="AE275" s="58" t="str">
        <f t="shared" si="243"/>
        <v>0x78</v>
      </c>
      <c r="AF275" s="58"/>
      <c r="AG275" s="58"/>
      <c r="AH275" s="58"/>
      <c r="AI275" s="58"/>
      <c r="AJ275" s="58"/>
      <c r="AK275" s="58"/>
      <c r="AL275" s="58"/>
      <c r="AM275" s="58"/>
      <c r="AN275" s="88"/>
    </row>
    <row r="276" hidden="1">
      <c r="A276" s="33" t="str">
        <f t="shared" si="2"/>
        <v>E912</v>
      </c>
      <c r="B276" s="34" t="str">
        <f>IFERROR(__xludf.DUMMYFUNCTION("REGEXREPLACE($H276, ""(?i)^8301(E000|E100|E200|E300)?"", """")"),"E91200010FBCBDBDBDBD30D037F4D2460000FCBB")</f>
        <v>E91200010FBCBDBDBDBD30D037F4D2460000FCBB</v>
      </c>
      <c r="C276" s="36" t="s">
        <v>14</v>
      </c>
      <c r="D276" s="36" t="s">
        <v>118</v>
      </c>
      <c r="E276" s="36" t="s">
        <v>129</v>
      </c>
      <c r="F276" s="41" t="s">
        <v>130</v>
      </c>
      <c r="G276" s="37">
        <v>46240.0</v>
      </c>
      <c r="H276" s="44" t="s">
        <v>268</v>
      </c>
      <c r="I276" s="36"/>
      <c r="J276" s="39" t="str">
        <f t="shared" si="3"/>
        <v>0x12</v>
      </c>
      <c r="K276" s="40" t="str">
        <f t="shared" si="4"/>
        <v>0x00</v>
      </c>
      <c r="L276" s="40" t="str">
        <f t="shared" si="5"/>
        <v>0x01</v>
      </c>
      <c r="M276" s="42">
        <v>5.0</v>
      </c>
      <c r="N276" s="42" t="str">
        <f t="shared" si="189"/>
        <v>0x0F</v>
      </c>
      <c r="O276" s="48" t="str">
        <f t="shared" si="190"/>
        <v>0xBC</v>
      </c>
      <c r="P276" s="48" t="str">
        <f t="shared" si="191"/>
        <v>0xBD</v>
      </c>
      <c r="Q276" s="48" t="str">
        <f t="shared" si="244"/>
        <v>0xBD</v>
      </c>
      <c r="R276" s="42"/>
      <c r="S276" s="48" t="str">
        <f t="shared" si="245"/>
        <v>0xBD</v>
      </c>
      <c r="T276" s="48" t="str">
        <f t="shared" si="246"/>
        <v>0xBD</v>
      </c>
      <c r="U276" s="48"/>
      <c r="V276" s="40">
        <v>21.0</v>
      </c>
      <c r="W276" s="40" t="str">
        <f t="shared" si="72"/>
        <v>0x30</v>
      </c>
      <c r="X276" s="40" t="str">
        <f t="shared" ref="X276:AE276" si="247">"0x" &amp; MID($B276,$V276  + 2*(COLUMN() - COLUMN($W276)), 2)</f>
        <v>0xD0</v>
      </c>
      <c r="Y276" s="40" t="str">
        <f t="shared" si="247"/>
        <v>0x37</v>
      </c>
      <c r="Z276" s="40" t="str">
        <f t="shared" si="247"/>
        <v>0xF4</v>
      </c>
      <c r="AA276" s="40" t="str">
        <f t="shared" si="247"/>
        <v>0xD2</v>
      </c>
      <c r="AB276" s="40" t="str">
        <f t="shared" si="247"/>
        <v>0x46</v>
      </c>
      <c r="AC276" s="40" t="str">
        <f t="shared" si="247"/>
        <v>0x00</v>
      </c>
      <c r="AD276" s="40" t="str">
        <f t="shared" si="247"/>
        <v>0x00</v>
      </c>
      <c r="AE276" s="40" t="str">
        <f t="shared" si="247"/>
        <v>0xFC</v>
      </c>
      <c r="AF276" s="40"/>
      <c r="AG276" s="40"/>
      <c r="AH276" s="40"/>
      <c r="AI276" s="40"/>
      <c r="AJ276" s="40"/>
      <c r="AK276" s="40"/>
      <c r="AL276" s="40"/>
      <c r="AM276" s="40"/>
      <c r="AN276" s="64" t="str">
        <f>"0x"&amp;MID($B276,39,2)</f>
        <v>0xBB</v>
      </c>
    </row>
    <row r="277" hidden="1">
      <c r="A277" s="51" t="str">
        <f t="shared" si="2"/>
        <v>E912</v>
      </c>
      <c r="B277" s="52" t="str">
        <f>IFERROR(__xludf.DUMMYFUNCTION("REGEXREPLACE($H277, ""(?i)^8301(E000|E100|E200|E300)?"", """")"),"E91200010FBDBCBCBCBC7AEC5C982915291548AB")</f>
        <v>E91200010FBDBCBCBCBC7AEC5C982915291548AB</v>
      </c>
      <c r="C277" s="65" t="s">
        <v>18</v>
      </c>
      <c r="D277" s="65" t="s">
        <v>517</v>
      </c>
      <c r="E277" s="65" t="s">
        <v>106</v>
      </c>
      <c r="F277" s="65" t="s">
        <v>107</v>
      </c>
      <c r="G277" s="67">
        <v>46220.0</v>
      </c>
      <c r="H277" s="68" t="s">
        <v>404</v>
      </c>
      <c r="I277" s="65"/>
      <c r="J277" s="57" t="str">
        <f t="shared" si="3"/>
        <v>0x12</v>
      </c>
      <c r="K277" s="58" t="str">
        <f t="shared" si="4"/>
        <v>0x00</v>
      </c>
      <c r="L277" s="58" t="str">
        <f t="shared" si="5"/>
        <v>0x01</v>
      </c>
      <c r="M277" s="59">
        <v>4.0</v>
      </c>
      <c r="N277" s="59" t="str">
        <f t="shared" si="189"/>
        <v>0x0F</v>
      </c>
      <c r="O277" s="71" t="str">
        <f t="shared" si="190"/>
        <v>0xBD</v>
      </c>
      <c r="P277" s="71" t="str">
        <f t="shared" si="191"/>
        <v>0xBC</v>
      </c>
      <c r="Q277" s="71" t="str">
        <f t="shared" si="244"/>
        <v>0xBC</v>
      </c>
      <c r="R277" s="59"/>
      <c r="S277" s="71" t="str">
        <f t="shared" si="245"/>
        <v>0xBC</v>
      </c>
      <c r="T277" s="71" t="str">
        <f t="shared" si="246"/>
        <v>0xBC</v>
      </c>
      <c r="U277" s="71"/>
      <c r="V277" s="58">
        <v>21.0</v>
      </c>
      <c r="W277" s="58" t="str">
        <f t="shared" si="72"/>
        <v>0x7A</v>
      </c>
      <c r="X277" s="58" t="str">
        <f t="shared" ref="X277:AF277" si="248">"0x" &amp; MID($B277,$V277  + 2*(COLUMN() - COLUMN($W277)), 2)</f>
        <v>0xEC</v>
      </c>
      <c r="Y277" s="58" t="str">
        <f t="shared" si="248"/>
        <v>0x5C</v>
      </c>
      <c r="Z277" s="58" t="str">
        <f t="shared" si="248"/>
        <v>0x98</v>
      </c>
      <c r="AA277" s="58" t="str">
        <f t="shared" si="248"/>
        <v>0x29</v>
      </c>
      <c r="AB277" s="58" t="str">
        <f t="shared" si="248"/>
        <v>0x15</v>
      </c>
      <c r="AC277" s="58" t="str">
        <f t="shared" si="248"/>
        <v>0x29</v>
      </c>
      <c r="AD277" s="58" t="str">
        <f t="shared" si="248"/>
        <v>0x15</v>
      </c>
      <c r="AE277" s="58" t="str">
        <f t="shared" si="248"/>
        <v>0x48</v>
      </c>
      <c r="AF277" s="58" t="str">
        <f t="shared" si="248"/>
        <v>0xAB</v>
      </c>
      <c r="AG277" s="58"/>
      <c r="AH277" s="58"/>
      <c r="AI277" s="58"/>
      <c r="AJ277" s="58"/>
      <c r="AK277" s="58"/>
      <c r="AL277" s="58"/>
      <c r="AM277" s="58"/>
      <c r="AN277" s="74"/>
    </row>
    <row r="278" hidden="1">
      <c r="A278" s="33" t="str">
        <f t="shared" si="2"/>
        <v>E912</v>
      </c>
      <c r="B278" s="34" t="str">
        <f>IFERROR(__xludf.DUMMYFUNCTION("REGEXREPLACE($H278, ""(?i)^8301(E000|E100|E200|E300)?"", """")"),"E91200110FBDB9B9B9B97AEC5C982915291548AB")</f>
        <v>E91200110FBDB9B9B9B97AEC5C982915291548AB</v>
      </c>
      <c r="C278" s="36" t="s">
        <v>18</v>
      </c>
      <c r="D278" s="36" t="s">
        <v>517</v>
      </c>
      <c r="E278" s="36" t="s">
        <v>106</v>
      </c>
      <c r="F278" s="36" t="s">
        <v>107</v>
      </c>
      <c r="G278" s="37">
        <v>46220.0</v>
      </c>
      <c r="H278" s="38" t="s">
        <v>405</v>
      </c>
      <c r="I278" s="36"/>
      <c r="J278" s="39" t="str">
        <f t="shared" si="3"/>
        <v>0x12</v>
      </c>
      <c r="K278" s="40" t="str">
        <f t="shared" si="4"/>
        <v>0x00</v>
      </c>
      <c r="L278" s="40" t="str">
        <f t="shared" si="5"/>
        <v>0x11</v>
      </c>
      <c r="M278" s="42">
        <v>4.0</v>
      </c>
      <c r="N278" s="42" t="str">
        <f t="shared" si="189"/>
        <v>0x0F</v>
      </c>
      <c r="O278" s="48" t="str">
        <f t="shared" si="190"/>
        <v>0xBD</v>
      </c>
      <c r="P278" s="48" t="str">
        <f t="shared" si="191"/>
        <v>0xB9</v>
      </c>
      <c r="Q278" s="48" t="str">
        <f t="shared" si="244"/>
        <v>0xB9</v>
      </c>
      <c r="R278" s="42"/>
      <c r="S278" s="48" t="str">
        <f t="shared" si="245"/>
        <v>0xB9</v>
      </c>
      <c r="T278" s="48" t="str">
        <f t="shared" si="246"/>
        <v>0xB9</v>
      </c>
      <c r="U278" s="48"/>
      <c r="V278" s="40">
        <v>21.0</v>
      </c>
      <c r="W278" s="40" t="str">
        <f t="shared" si="72"/>
        <v>0x7A</v>
      </c>
      <c r="X278" s="40" t="str">
        <f t="shared" ref="X278:AF278" si="249">"0x" &amp; MID($B278,$V278  + 2*(COLUMN() - COLUMN($W278)), 2)</f>
        <v>0xEC</v>
      </c>
      <c r="Y278" s="40" t="str">
        <f t="shared" si="249"/>
        <v>0x5C</v>
      </c>
      <c r="Z278" s="40" t="str">
        <f t="shared" si="249"/>
        <v>0x98</v>
      </c>
      <c r="AA278" s="40" t="str">
        <f t="shared" si="249"/>
        <v>0x29</v>
      </c>
      <c r="AB278" s="40" t="str">
        <f t="shared" si="249"/>
        <v>0x15</v>
      </c>
      <c r="AC278" s="40" t="str">
        <f t="shared" si="249"/>
        <v>0x29</v>
      </c>
      <c r="AD278" s="40" t="str">
        <f t="shared" si="249"/>
        <v>0x15</v>
      </c>
      <c r="AE278" s="40" t="str">
        <f t="shared" si="249"/>
        <v>0x48</v>
      </c>
      <c r="AF278" s="40" t="str">
        <f t="shared" si="249"/>
        <v>0xAB</v>
      </c>
      <c r="AG278" s="40"/>
      <c r="AH278" s="40"/>
      <c r="AI278" s="40"/>
      <c r="AJ278" s="40"/>
      <c r="AK278" s="40"/>
      <c r="AL278" s="40"/>
      <c r="AM278" s="40"/>
      <c r="AN278" s="64"/>
    </row>
    <row r="279" hidden="1">
      <c r="A279" s="51" t="str">
        <f t="shared" si="2"/>
        <v>E912</v>
      </c>
      <c r="B279" s="52" t="str">
        <f>IFERROR(__xludf.DUMMYFUNCTION("REGEXREPLACE($H279, ""(?i)^8301(E000|E100|E200|E300)?"", """")"),"E91200114896D00E8BD04D83D037F0D13D0504B0")</f>
        <v>E91200114896D00E8BD04D83D037F0D13D0504B0</v>
      </c>
      <c r="C279" s="65" t="s">
        <v>60</v>
      </c>
      <c r="D279" s="65" t="s">
        <v>410</v>
      </c>
      <c r="E279" s="65" t="s">
        <v>129</v>
      </c>
      <c r="F279" s="89" t="s">
        <v>137</v>
      </c>
      <c r="G279" s="67">
        <v>46240.0</v>
      </c>
      <c r="H279" s="56" t="s">
        <v>412</v>
      </c>
      <c r="I279" s="65" t="s">
        <v>153</v>
      </c>
      <c r="J279" s="57" t="str">
        <f t="shared" si="3"/>
        <v>0x12</v>
      </c>
      <c r="K279" s="58" t="str">
        <f t="shared" si="4"/>
        <v>0x00</v>
      </c>
      <c r="L279" s="58" t="str">
        <f t="shared" si="5"/>
        <v>0x11</v>
      </c>
      <c r="M279" s="59"/>
      <c r="N279" s="59"/>
      <c r="O279" s="71"/>
      <c r="P279" s="71"/>
      <c r="Q279" s="71"/>
      <c r="R279" s="59"/>
      <c r="S279" s="84"/>
      <c r="T279" s="84"/>
      <c r="U279" s="84"/>
      <c r="V279" s="90">
        <v>9.0</v>
      </c>
      <c r="W279" s="62" t="str">
        <f t="shared" si="72"/>
        <v>0x48</v>
      </c>
      <c r="X279" s="62" t="str">
        <f t="shared" ref="X279:AK279" si="250">"0x" &amp; MID($B279,$V279  + 2*(COLUMN() - COLUMN($W279)), 2)</f>
        <v>0x96</v>
      </c>
      <c r="Y279" s="62" t="str">
        <f t="shared" si="250"/>
        <v>0xD0</v>
      </c>
      <c r="Z279" s="62" t="str">
        <f t="shared" si="250"/>
        <v>0x0E</v>
      </c>
      <c r="AA279" s="62" t="str">
        <f t="shared" si="250"/>
        <v>0x8B</v>
      </c>
      <c r="AB279" s="62" t="str">
        <f t="shared" si="250"/>
        <v>0xD0</v>
      </c>
      <c r="AC279" s="62" t="str">
        <f t="shared" si="250"/>
        <v>0x4D</v>
      </c>
      <c r="AD279" s="62" t="str">
        <f t="shared" si="250"/>
        <v>0x83</v>
      </c>
      <c r="AE279" s="62" t="str">
        <f t="shared" si="250"/>
        <v>0xD0</v>
      </c>
      <c r="AF279" s="62" t="str">
        <f t="shared" si="250"/>
        <v>0x37</v>
      </c>
      <c r="AG279" s="62" t="str">
        <f t="shared" si="250"/>
        <v>0xF0</v>
      </c>
      <c r="AH279" s="62" t="str">
        <f t="shared" si="250"/>
        <v>0xD1</v>
      </c>
      <c r="AI279" s="62" t="str">
        <f t="shared" si="250"/>
        <v>0x3D</v>
      </c>
      <c r="AJ279" s="62" t="str">
        <f t="shared" si="250"/>
        <v>0x05</v>
      </c>
      <c r="AK279" s="62" t="str">
        <f t="shared" si="250"/>
        <v>0x04</v>
      </c>
      <c r="AL279" s="62"/>
      <c r="AM279" s="62"/>
      <c r="AN279" s="74" t="str">
        <f t="shared" ref="AN279:AN289" si="252">"0x"&amp;MID($B279,39,2)</f>
        <v>0xB0</v>
      </c>
    </row>
    <row r="280" hidden="1">
      <c r="A280" s="33" t="str">
        <f t="shared" si="2"/>
        <v>E912</v>
      </c>
      <c r="B280" s="34" t="str">
        <f>IFERROR(__xludf.DUMMYFUNCTION("REGEXREPLACE($H280, ""(?i)^8301(E000|E100|E200|E300)?"", """")"),"E91200184896D00E86D04D83D037F0D13D050AB0")</f>
        <v>E91200184896D00E86D04D83D037F0D13D050AB0</v>
      </c>
      <c r="C280" s="36" t="s">
        <v>60</v>
      </c>
      <c r="D280" s="36" t="s">
        <v>410</v>
      </c>
      <c r="E280" s="36" t="s">
        <v>75</v>
      </c>
      <c r="F280" s="36" t="s">
        <v>143</v>
      </c>
      <c r="G280" s="37">
        <v>46208.0</v>
      </c>
      <c r="H280" s="38" t="s">
        <v>407</v>
      </c>
      <c r="I280" s="36" t="s">
        <v>153</v>
      </c>
      <c r="J280" s="39" t="str">
        <f t="shared" si="3"/>
        <v>0x12</v>
      </c>
      <c r="K280" s="40" t="str">
        <f t="shared" si="4"/>
        <v>0x00</v>
      </c>
      <c r="L280" s="40" t="str">
        <f t="shared" si="5"/>
        <v>0x18</v>
      </c>
      <c r="M280" s="42"/>
      <c r="N280" s="42"/>
      <c r="O280" s="48"/>
      <c r="P280" s="48"/>
      <c r="Q280" s="48"/>
      <c r="R280" s="42"/>
      <c r="S280" s="72"/>
      <c r="T280" s="72"/>
      <c r="U280" s="72"/>
      <c r="V280" s="73">
        <v>9.0</v>
      </c>
      <c r="W280" s="47" t="str">
        <f t="shared" si="72"/>
        <v>0x48</v>
      </c>
      <c r="X280" s="47" t="str">
        <f t="shared" ref="X280:AK280" si="251">"0x" &amp; MID($B280,$V280  + 2*(COLUMN() - COLUMN($W280)), 2)</f>
        <v>0x96</v>
      </c>
      <c r="Y280" s="47" t="str">
        <f t="shared" si="251"/>
        <v>0xD0</v>
      </c>
      <c r="Z280" s="47" t="str">
        <f t="shared" si="251"/>
        <v>0x0E</v>
      </c>
      <c r="AA280" s="47" t="str">
        <f t="shared" si="251"/>
        <v>0x86</v>
      </c>
      <c r="AB280" s="47" t="str">
        <f t="shared" si="251"/>
        <v>0xD0</v>
      </c>
      <c r="AC280" s="47" t="str">
        <f t="shared" si="251"/>
        <v>0x4D</v>
      </c>
      <c r="AD280" s="47" t="str">
        <f t="shared" si="251"/>
        <v>0x83</v>
      </c>
      <c r="AE280" s="47" t="str">
        <f t="shared" si="251"/>
        <v>0xD0</v>
      </c>
      <c r="AF280" s="47" t="str">
        <f t="shared" si="251"/>
        <v>0x37</v>
      </c>
      <c r="AG280" s="47" t="str">
        <f t="shared" si="251"/>
        <v>0xF0</v>
      </c>
      <c r="AH280" s="47" t="str">
        <f t="shared" si="251"/>
        <v>0xD1</v>
      </c>
      <c r="AI280" s="47" t="str">
        <f t="shared" si="251"/>
        <v>0x3D</v>
      </c>
      <c r="AJ280" s="47" t="str">
        <f t="shared" si="251"/>
        <v>0x05</v>
      </c>
      <c r="AK280" s="47" t="str">
        <f t="shared" si="251"/>
        <v>0x0A</v>
      </c>
      <c r="AL280" s="47"/>
      <c r="AM280" s="47"/>
      <c r="AN280" s="64" t="str">
        <f t="shared" si="252"/>
        <v>0xB0</v>
      </c>
    </row>
    <row r="281" hidden="1">
      <c r="A281" s="51" t="str">
        <f t="shared" si="2"/>
        <v>E912</v>
      </c>
      <c r="B281" s="52" t="str">
        <f>IFERROR(__xludf.DUMMYFUNCTION("REGEXREPLACE($H281, ""(?i)^8301(E000|E100|E200|E300)?"", """")"),"E912001F0FBDBDBDBCBC30D037F4D246000064B0")</f>
        <v>E912001F0FBDBDBDBCBC30D037F4D246000064B0</v>
      </c>
      <c r="C281" s="65" t="s">
        <v>14</v>
      </c>
      <c r="D281" s="65" t="s">
        <v>118</v>
      </c>
      <c r="E281" s="65" t="s">
        <v>75</v>
      </c>
      <c r="F281" s="65" t="s">
        <v>76</v>
      </c>
      <c r="G281" s="67">
        <v>46228.0</v>
      </c>
      <c r="H281" s="68" t="s">
        <v>253</v>
      </c>
      <c r="I281" s="65"/>
      <c r="J281" s="57" t="str">
        <f t="shared" si="3"/>
        <v>0x12</v>
      </c>
      <c r="K281" s="58" t="str">
        <f t="shared" si="4"/>
        <v>0x00</v>
      </c>
      <c r="L281" s="58" t="str">
        <f t="shared" si="5"/>
        <v>0x1F</v>
      </c>
      <c r="M281" s="59">
        <v>5.0</v>
      </c>
      <c r="N281" s="59" t="str">
        <f t="shared" ref="N281:N282" si="254">"0x"&amp;MID($B281,9,2)</f>
        <v>0x0F</v>
      </c>
      <c r="O281" s="71" t="str">
        <f t="shared" ref="O281:O282" si="255">"0x"&amp;MID($B281,11,2)</f>
        <v>0xBD</v>
      </c>
      <c r="P281" s="71" t="str">
        <f t="shared" ref="P281:P282" si="256">"0x"&amp;MID($B281,13,2)</f>
        <v>0xBD</v>
      </c>
      <c r="Q281" s="71" t="str">
        <f t="shared" ref="Q281:Q282" si="257">"0x"&amp;MID($B281,15,2)</f>
        <v>0xBD</v>
      </c>
      <c r="R281" s="59"/>
      <c r="S281" s="71" t="str">
        <f t="shared" ref="S281:S282" si="258">"0x"&amp;MID($B281,17,2)</f>
        <v>0xBC</v>
      </c>
      <c r="T281" s="71" t="str">
        <f t="shared" ref="T281:T282" si="259">"0x"&amp;MID($B281,19,2)</f>
        <v>0xBC</v>
      </c>
      <c r="U281" s="71"/>
      <c r="V281" s="58">
        <v>21.0</v>
      </c>
      <c r="W281" s="58" t="str">
        <f t="shared" si="72"/>
        <v>0x30</v>
      </c>
      <c r="X281" s="58" t="str">
        <f t="shared" ref="X281:AE281" si="253">"0x" &amp; MID($B281,$V281  + 2*(COLUMN() - COLUMN($W281)), 2)</f>
        <v>0xD0</v>
      </c>
      <c r="Y281" s="58" t="str">
        <f t="shared" si="253"/>
        <v>0x37</v>
      </c>
      <c r="Z281" s="58" t="str">
        <f t="shared" si="253"/>
        <v>0xF4</v>
      </c>
      <c r="AA281" s="58" t="str">
        <f t="shared" si="253"/>
        <v>0xD2</v>
      </c>
      <c r="AB281" s="58" t="str">
        <f t="shared" si="253"/>
        <v>0x46</v>
      </c>
      <c r="AC281" s="58" t="str">
        <f t="shared" si="253"/>
        <v>0x00</v>
      </c>
      <c r="AD281" s="58" t="str">
        <f t="shared" si="253"/>
        <v>0x00</v>
      </c>
      <c r="AE281" s="58" t="str">
        <f t="shared" si="253"/>
        <v>0x64</v>
      </c>
      <c r="AF281" s="58"/>
      <c r="AG281" s="58"/>
      <c r="AH281" s="58"/>
      <c r="AI281" s="58"/>
      <c r="AJ281" s="58"/>
      <c r="AK281" s="58"/>
      <c r="AL281" s="58"/>
      <c r="AM281" s="58"/>
      <c r="AN281" s="74" t="str">
        <f t="shared" si="252"/>
        <v>0xB0</v>
      </c>
    </row>
    <row r="282" hidden="1">
      <c r="A282" s="33" t="str">
        <f t="shared" si="2"/>
        <v>E912</v>
      </c>
      <c r="B282" s="34" t="str">
        <f>IFERROR(__xludf.DUMMYFUNCTION("REGEXREPLACE($H282, ""(?i)^8301(E000|E100|E200|E300)?"", """")"),"E91200480FBBB5A4B5A430D037F4D246001340B0")</f>
        <v>E91200480FBBB5A4B5A430D037F4D246001340B0</v>
      </c>
      <c r="C282" s="36" t="s">
        <v>14</v>
      </c>
      <c r="D282" s="36" t="s">
        <v>118</v>
      </c>
      <c r="E282" s="36" t="s">
        <v>129</v>
      </c>
      <c r="F282" s="36" t="s">
        <v>137</v>
      </c>
      <c r="G282" s="37">
        <v>46207.0</v>
      </c>
      <c r="H282" s="44" t="s">
        <v>294</v>
      </c>
      <c r="I282" s="36"/>
      <c r="J282" s="39" t="str">
        <f t="shared" si="3"/>
        <v>0x12</v>
      </c>
      <c r="K282" s="40" t="str">
        <f t="shared" si="4"/>
        <v>0x00</v>
      </c>
      <c r="L282" s="40" t="str">
        <f t="shared" si="5"/>
        <v>0x48</v>
      </c>
      <c r="M282" s="42">
        <v>5.0</v>
      </c>
      <c r="N282" s="42" t="str">
        <f t="shared" si="254"/>
        <v>0x0F</v>
      </c>
      <c r="O282" s="48" t="str">
        <f t="shared" si="255"/>
        <v>0xBB</v>
      </c>
      <c r="P282" s="48" t="str">
        <f t="shared" si="256"/>
        <v>0xB5</v>
      </c>
      <c r="Q282" s="48" t="str">
        <f t="shared" si="257"/>
        <v>0xA4</v>
      </c>
      <c r="R282" s="42"/>
      <c r="S282" s="48" t="str">
        <f t="shared" si="258"/>
        <v>0xB5</v>
      </c>
      <c r="T282" s="48" t="str">
        <f t="shared" si="259"/>
        <v>0xA4</v>
      </c>
      <c r="U282" s="48"/>
      <c r="V282" s="40">
        <v>21.0</v>
      </c>
      <c r="W282" s="40" t="str">
        <f t="shared" si="72"/>
        <v>0x30</v>
      </c>
      <c r="X282" s="40" t="str">
        <f t="shared" ref="X282:AE282" si="260">"0x" &amp; MID($B282,$V282  + 2*(COLUMN() - COLUMN($W282)), 2)</f>
        <v>0xD0</v>
      </c>
      <c r="Y282" s="40" t="str">
        <f t="shared" si="260"/>
        <v>0x37</v>
      </c>
      <c r="Z282" s="40" t="str">
        <f t="shared" si="260"/>
        <v>0xF4</v>
      </c>
      <c r="AA282" s="40" t="str">
        <f t="shared" si="260"/>
        <v>0xD2</v>
      </c>
      <c r="AB282" s="40" t="str">
        <f t="shared" si="260"/>
        <v>0x46</v>
      </c>
      <c r="AC282" s="40" t="str">
        <f t="shared" si="260"/>
        <v>0x00</v>
      </c>
      <c r="AD282" s="40" t="str">
        <f t="shared" si="260"/>
        <v>0x13</v>
      </c>
      <c r="AE282" s="40" t="str">
        <f t="shared" si="260"/>
        <v>0x40</v>
      </c>
      <c r="AF282" s="40"/>
      <c r="AG282" s="40"/>
      <c r="AH282" s="40"/>
      <c r="AI282" s="40"/>
      <c r="AJ282" s="40"/>
      <c r="AK282" s="40"/>
      <c r="AL282" s="40"/>
      <c r="AM282" s="40"/>
      <c r="AN282" s="64" t="str">
        <f t="shared" si="252"/>
        <v>0xB0</v>
      </c>
    </row>
    <row r="283" hidden="1">
      <c r="A283" s="51" t="str">
        <f t="shared" si="2"/>
        <v>E912</v>
      </c>
      <c r="B283" s="52" t="str">
        <f>IFERROR(__xludf.DUMMYFUNCTION("REGEXREPLACE($H283, ""(?i)^8301(E000|E100|E200|E300)?"", """")"),"E91200A329040E160F044897D00EFFD1460625B0")</f>
        <v>E91200A329040E160F044897D00EFFD1460625B0</v>
      </c>
      <c r="C283" s="65" t="s">
        <v>534</v>
      </c>
      <c r="D283" s="65" t="s">
        <v>535</v>
      </c>
      <c r="E283" s="65" t="s">
        <v>129</v>
      </c>
      <c r="F283" s="89" t="s">
        <v>137</v>
      </c>
      <c r="G283" s="67">
        <v>46240.0</v>
      </c>
      <c r="H283" s="56" t="s">
        <v>152</v>
      </c>
      <c r="I283" s="65" t="s">
        <v>153</v>
      </c>
      <c r="J283" s="57" t="str">
        <f t="shared" si="3"/>
        <v>0x12</v>
      </c>
      <c r="K283" s="58" t="str">
        <f t="shared" si="4"/>
        <v>0x00</v>
      </c>
      <c r="L283" s="58" t="str">
        <f t="shared" si="5"/>
        <v>0xA3</v>
      </c>
      <c r="M283" s="59"/>
      <c r="N283" s="59"/>
      <c r="O283" s="71"/>
      <c r="P283" s="71"/>
      <c r="Q283" s="71"/>
      <c r="R283" s="59"/>
      <c r="S283" s="84"/>
      <c r="T283" s="84"/>
      <c r="U283" s="84"/>
      <c r="V283" s="90">
        <v>9.0</v>
      </c>
      <c r="W283" s="62" t="str">
        <f t="shared" si="72"/>
        <v>0x29</v>
      </c>
      <c r="X283" s="62" t="str">
        <f t="shared" ref="X283:AK283" si="261">"0x" &amp; MID($B283,$V283  + 2*(COLUMN() - COLUMN($W283)), 2)</f>
        <v>0x04</v>
      </c>
      <c r="Y283" s="62" t="str">
        <f t="shared" si="261"/>
        <v>0x0E</v>
      </c>
      <c r="Z283" s="62" t="str">
        <f t="shared" si="261"/>
        <v>0x16</v>
      </c>
      <c r="AA283" s="62" t="str">
        <f t="shared" si="261"/>
        <v>0x0F</v>
      </c>
      <c r="AB283" s="62" t="str">
        <f t="shared" si="261"/>
        <v>0x04</v>
      </c>
      <c r="AC283" s="62" t="str">
        <f t="shared" si="261"/>
        <v>0x48</v>
      </c>
      <c r="AD283" s="62" t="str">
        <f t="shared" si="261"/>
        <v>0x97</v>
      </c>
      <c r="AE283" s="62" t="str">
        <f t="shared" si="261"/>
        <v>0xD0</v>
      </c>
      <c r="AF283" s="62" t="str">
        <f t="shared" si="261"/>
        <v>0x0E</v>
      </c>
      <c r="AG283" s="62" t="str">
        <f t="shared" si="261"/>
        <v>0xFF</v>
      </c>
      <c r="AH283" s="62" t="str">
        <f t="shared" si="261"/>
        <v>0xD1</v>
      </c>
      <c r="AI283" s="62" t="str">
        <f t="shared" si="261"/>
        <v>0x46</v>
      </c>
      <c r="AJ283" s="62" t="str">
        <f t="shared" si="261"/>
        <v>0x06</v>
      </c>
      <c r="AK283" s="62" t="str">
        <f t="shared" si="261"/>
        <v>0x25</v>
      </c>
      <c r="AL283" s="62"/>
      <c r="AM283" s="62"/>
      <c r="AN283" s="74" t="str">
        <f t="shared" si="252"/>
        <v>0xB0</v>
      </c>
    </row>
    <row r="284" hidden="1">
      <c r="A284" s="33" t="str">
        <f t="shared" si="2"/>
        <v>E912</v>
      </c>
      <c r="B284" s="34" t="str">
        <f>IFERROR(__xludf.DUMMYFUNCTION("REGEXREPLACE($H284, ""(?i)^8301(E000|E100|E200|E300)?"", """")"),"E91200C30FB1A4B5B5A430D037F4D246000CFCB0")</f>
        <v>E91200C30FB1A4B5B5A430D037F4D246000CFCB0</v>
      </c>
      <c r="C284" s="36" t="s">
        <v>14</v>
      </c>
      <c r="D284" s="36" t="s">
        <v>118</v>
      </c>
      <c r="E284" s="36" t="s">
        <v>75</v>
      </c>
      <c r="F284" s="36" t="s">
        <v>76</v>
      </c>
      <c r="G284" s="37">
        <v>46208.0</v>
      </c>
      <c r="H284" s="38" t="s">
        <v>280</v>
      </c>
      <c r="I284" s="36"/>
      <c r="J284" s="39" t="str">
        <f t="shared" si="3"/>
        <v>0x12</v>
      </c>
      <c r="K284" s="40" t="str">
        <f t="shared" si="4"/>
        <v>0x00</v>
      </c>
      <c r="L284" s="40" t="str">
        <f t="shared" si="5"/>
        <v>0xC3</v>
      </c>
      <c r="M284" s="42">
        <v>5.0</v>
      </c>
      <c r="N284" s="42" t="str">
        <f t="shared" ref="N284:N293" si="263">"0x"&amp;MID($B284,9,2)</f>
        <v>0x0F</v>
      </c>
      <c r="O284" s="48" t="str">
        <f t="shared" ref="O284:O293" si="264">"0x"&amp;MID($B284,11,2)</f>
        <v>0xB1</v>
      </c>
      <c r="P284" s="48" t="str">
        <f t="shared" ref="P284:P293" si="265">"0x"&amp;MID($B284,13,2)</f>
        <v>0xA4</v>
      </c>
      <c r="Q284" s="48" t="str">
        <f t="shared" ref="Q284:Q289" si="266">"0x"&amp;MID($B284,15,2)</f>
        <v>0xB5</v>
      </c>
      <c r="R284" s="42"/>
      <c r="S284" s="48" t="str">
        <f t="shared" ref="S284:S289" si="267">"0x"&amp;MID($B284,17,2)</f>
        <v>0xB5</v>
      </c>
      <c r="T284" s="48" t="str">
        <f t="shared" ref="T284:T289" si="268">"0x"&amp;MID($B284,19,2)</f>
        <v>0xA4</v>
      </c>
      <c r="U284" s="48"/>
      <c r="V284" s="40">
        <v>21.0</v>
      </c>
      <c r="W284" s="40" t="str">
        <f t="shared" si="72"/>
        <v>0x30</v>
      </c>
      <c r="X284" s="40" t="str">
        <f t="shared" ref="X284:AE284" si="262">"0x" &amp; MID($B284,$V284  + 2*(COLUMN() - COLUMN($W284)), 2)</f>
        <v>0xD0</v>
      </c>
      <c r="Y284" s="40" t="str">
        <f t="shared" si="262"/>
        <v>0x37</v>
      </c>
      <c r="Z284" s="40" t="str">
        <f t="shared" si="262"/>
        <v>0xF4</v>
      </c>
      <c r="AA284" s="40" t="str">
        <f t="shared" si="262"/>
        <v>0xD2</v>
      </c>
      <c r="AB284" s="40" t="str">
        <f t="shared" si="262"/>
        <v>0x46</v>
      </c>
      <c r="AC284" s="40" t="str">
        <f t="shared" si="262"/>
        <v>0x00</v>
      </c>
      <c r="AD284" s="40" t="str">
        <f t="shared" si="262"/>
        <v>0x0C</v>
      </c>
      <c r="AE284" s="40" t="str">
        <f t="shared" si="262"/>
        <v>0xFC</v>
      </c>
      <c r="AF284" s="40"/>
      <c r="AG284" s="40"/>
      <c r="AH284" s="40"/>
      <c r="AI284" s="40"/>
      <c r="AJ284" s="40"/>
      <c r="AK284" s="40"/>
      <c r="AL284" s="40"/>
      <c r="AM284" s="40"/>
      <c r="AN284" s="64" t="str">
        <f t="shared" si="252"/>
        <v>0xB0</v>
      </c>
    </row>
    <row r="285" hidden="1">
      <c r="A285" s="51" t="str">
        <f t="shared" si="2"/>
        <v>E912</v>
      </c>
      <c r="B285" s="52" t="str">
        <f>IFERROR(__xludf.DUMMYFUNCTION("REGEXREPLACE($H285, ""(?i)^8301(E000|E100|E200|E300)?"", """")"),"E91200C30FB6B9B6B6B930D037F4D24600FCFCB0")</f>
        <v>E91200C30FB6B9B6B6B930D037F4D24600FCFCB0</v>
      </c>
      <c r="C285" s="65" t="s">
        <v>14</v>
      </c>
      <c r="D285" s="65" t="s">
        <v>118</v>
      </c>
      <c r="E285" s="54" t="s">
        <v>75</v>
      </c>
      <c r="F285" s="54" t="s">
        <v>76</v>
      </c>
      <c r="G285" s="55">
        <v>46235.0</v>
      </c>
      <c r="H285" s="56" t="s">
        <v>357</v>
      </c>
      <c r="I285" s="65"/>
      <c r="J285" s="57" t="str">
        <f t="shared" si="3"/>
        <v>0x12</v>
      </c>
      <c r="K285" s="58" t="str">
        <f t="shared" si="4"/>
        <v>0x00</v>
      </c>
      <c r="L285" s="58" t="str">
        <f t="shared" si="5"/>
        <v>0xC3</v>
      </c>
      <c r="M285" s="59">
        <v>5.0</v>
      </c>
      <c r="N285" s="59" t="str">
        <f t="shared" si="263"/>
        <v>0x0F</v>
      </c>
      <c r="O285" s="71" t="str">
        <f t="shared" si="264"/>
        <v>0xB6</v>
      </c>
      <c r="P285" s="71" t="str">
        <f t="shared" si="265"/>
        <v>0xB9</v>
      </c>
      <c r="Q285" s="71" t="str">
        <f t="shared" si="266"/>
        <v>0xB6</v>
      </c>
      <c r="R285" s="59"/>
      <c r="S285" s="71" t="str">
        <f t="shared" si="267"/>
        <v>0xB6</v>
      </c>
      <c r="T285" s="71" t="str">
        <f t="shared" si="268"/>
        <v>0xB9</v>
      </c>
      <c r="U285" s="71"/>
      <c r="V285" s="58">
        <v>21.0</v>
      </c>
      <c r="W285" s="58" t="str">
        <f t="shared" si="72"/>
        <v>0x30</v>
      </c>
      <c r="X285" s="58" t="str">
        <f t="shared" ref="X285:AE285" si="269">"0x" &amp; MID($B285,$V285  + 2*(COLUMN() - COLUMN($W285)), 2)</f>
        <v>0xD0</v>
      </c>
      <c r="Y285" s="58" t="str">
        <f t="shared" si="269"/>
        <v>0x37</v>
      </c>
      <c r="Z285" s="58" t="str">
        <f t="shared" si="269"/>
        <v>0xF4</v>
      </c>
      <c r="AA285" s="58" t="str">
        <f t="shared" si="269"/>
        <v>0xD2</v>
      </c>
      <c r="AB285" s="58" t="str">
        <f t="shared" si="269"/>
        <v>0x46</v>
      </c>
      <c r="AC285" s="58" t="str">
        <f t="shared" si="269"/>
        <v>0x00</v>
      </c>
      <c r="AD285" s="58" t="str">
        <f t="shared" si="269"/>
        <v>0xFC</v>
      </c>
      <c r="AE285" s="58" t="str">
        <f t="shared" si="269"/>
        <v>0xFC</v>
      </c>
      <c r="AF285" s="58"/>
      <c r="AG285" s="58"/>
      <c r="AH285" s="58"/>
      <c r="AI285" s="58"/>
      <c r="AJ285" s="58"/>
      <c r="AK285" s="58"/>
      <c r="AL285" s="58"/>
      <c r="AM285" s="58"/>
      <c r="AN285" s="74" t="str">
        <f t="shared" si="252"/>
        <v>0xB0</v>
      </c>
    </row>
    <row r="286" hidden="1">
      <c r="A286" s="33" t="str">
        <f t="shared" si="2"/>
        <v>E912</v>
      </c>
      <c r="B286" s="34" t="str">
        <f>IFERROR(__xludf.DUMMYFUNCTION("REGEXREPLACE($H286, ""(?i)^8301(E000|E100|E200|E300)?"", """")"),"E91200C30FBCBCBDBCBD30D037F4D246000CFCB0")</f>
        <v>E91200C30FBCBCBDBCBD30D037F4D246000CFCB0</v>
      </c>
      <c r="C286" s="36" t="s">
        <v>14</v>
      </c>
      <c r="D286" s="36" t="s">
        <v>118</v>
      </c>
      <c r="E286" s="36" t="s">
        <v>75</v>
      </c>
      <c r="F286" s="36" t="s">
        <v>76</v>
      </c>
      <c r="G286" s="37">
        <v>46219.0</v>
      </c>
      <c r="H286" s="38" t="s">
        <v>408</v>
      </c>
      <c r="I286" s="36"/>
      <c r="J286" s="39" t="str">
        <f t="shared" si="3"/>
        <v>0x12</v>
      </c>
      <c r="K286" s="40" t="str">
        <f t="shared" si="4"/>
        <v>0x00</v>
      </c>
      <c r="L286" s="40" t="str">
        <f t="shared" si="5"/>
        <v>0xC3</v>
      </c>
      <c r="M286" s="42">
        <v>5.0</v>
      </c>
      <c r="N286" s="42" t="str">
        <f t="shared" si="263"/>
        <v>0x0F</v>
      </c>
      <c r="O286" s="48" t="str">
        <f t="shared" si="264"/>
        <v>0xBC</v>
      </c>
      <c r="P286" s="48" t="str">
        <f t="shared" si="265"/>
        <v>0xBC</v>
      </c>
      <c r="Q286" s="48" t="str">
        <f t="shared" si="266"/>
        <v>0xBD</v>
      </c>
      <c r="R286" s="42"/>
      <c r="S286" s="48" t="str">
        <f t="shared" si="267"/>
        <v>0xBC</v>
      </c>
      <c r="T286" s="48" t="str">
        <f t="shared" si="268"/>
        <v>0xBD</v>
      </c>
      <c r="U286" s="48"/>
      <c r="V286" s="40">
        <v>21.0</v>
      </c>
      <c r="W286" s="40" t="str">
        <f t="shared" si="72"/>
        <v>0x30</v>
      </c>
      <c r="X286" s="40" t="str">
        <f t="shared" ref="X286:AE286" si="270">"0x" &amp; MID($B286,$V286  + 2*(COLUMN() - COLUMN($W286)), 2)</f>
        <v>0xD0</v>
      </c>
      <c r="Y286" s="40" t="str">
        <f t="shared" si="270"/>
        <v>0x37</v>
      </c>
      <c r="Z286" s="40" t="str">
        <f t="shared" si="270"/>
        <v>0xF4</v>
      </c>
      <c r="AA286" s="40" t="str">
        <f t="shared" si="270"/>
        <v>0xD2</v>
      </c>
      <c r="AB286" s="40" t="str">
        <f t="shared" si="270"/>
        <v>0x46</v>
      </c>
      <c r="AC286" s="40" t="str">
        <f t="shared" si="270"/>
        <v>0x00</v>
      </c>
      <c r="AD286" s="40" t="str">
        <f t="shared" si="270"/>
        <v>0x0C</v>
      </c>
      <c r="AE286" s="40" t="str">
        <f t="shared" si="270"/>
        <v>0xFC</v>
      </c>
      <c r="AF286" s="40"/>
      <c r="AG286" s="40"/>
      <c r="AH286" s="40"/>
      <c r="AI286" s="40"/>
      <c r="AJ286" s="40"/>
      <c r="AK286" s="40"/>
      <c r="AL286" s="40"/>
      <c r="AM286" s="40"/>
      <c r="AN286" s="64" t="str">
        <f t="shared" si="252"/>
        <v>0xB0</v>
      </c>
    </row>
    <row r="287" hidden="1">
      <c r="A287" s="51" t="str">
        <f t="shared" si="2"/>
        <v>E912</v>
      </c>
      <c r="B287" s="52" t="str">
        <f>IFERROR(__xludf.DUMMYFUNCTION("REGEXREPLACE($H287, ""(?i)^8301(E000|E100|E200|E300)?"", """")"),"E91200CF0FBCA4BCA4BC30D037F4D246001978B0")</f>
        <v>E91200CF0FBCA4BCA4BC30D037F4D246001978B0</v>
      </c>
      <c r="C287" s="65" t="s">
        <v>14</v>
      </c>
      <c r="D287" s="65" t="s">
        <v>118</v>
      </c>
      <c r="E287" s="65" t="s">
        <v>75</v>
      </c>
      <c r="F287" s="65" t="s">
        <v>76</v>
      </c>
      <c r="G287" s="67">
        <v>46219.0</v>
      </c>
      <c r="H287" s="68" t="s">
        <v>409</v>
      </c>
      <c r="I287" s="65"/>
      <c r="J287" s="57" t="str">
        <f t="shared" si="3"/>
        <v>0x12</v>
      </c>
      <c r="K287" s="58" t="str">
        <f t="shared" si="4"/>
        <v>0x00</v>
      </c>
      <c r="L287" s="58" t="str">
        <f t="shared" si="5"/>
        <v>0xCF</v>
      </c>
      <c r="M287" s="59">
        <v>5.0</v>
      </c>
      <c r="N287" s="59" t="str">
        <f t="shared" si="263"/>
        <v>0x0F</v>
      </c>
      <c r="O287" s="71" t="str">
        <f t="shared" si="264"/>
        <v>0xBC</v>
      </c>
      <c r="P287" s="71" t="str">
        <f t="shared" si="265"/>
        <v>0xA4</v>
      </c>
      <c r="Q287" s="71" t="str">
        <f t="shared" si="266"/>
        <v>0xBC</v>
      </c>
      <c r="R287" s="59"/>
      <c r="S287" s="71" t="str">
        <f t="shared" si="267"/>
        <v>0xA4</v>
      </c>
      <c r="T287" s="71" t="str">
        <f t="shared" si="268"/>
        <v>0xBC</v>
      </c>
      <c r="U287" s="71"/>
      <c r="V287" s="58">
        <v>21.0</v>
      </c>
      <c r="W287" s="58" t="str">
        <f t="shared" si="72"/>
        <v>0x30</v>
      </c>
      <c r="X287" s="58" t="str">
        <f t="shared" ref="X287:AE287" si="271">"0x" &amp; MID($B287,$V287  + 2*(COLUMN() - COLUMN($W287)), 2)</f>
        <v>0xD0</v>
      </c>
      <c r="Y287" s="58" t="str">
        <f t="shared" si="271"/>
        <v>0x37</v>
      </c>
      <c r="Z287" s="58" t="str">
        <f t="shared" si="271"/>
        <v>0xF4</v>
      </c>
      <c r="AA287" s="58" t="str">
        <f t="shared" si="271"/>
        <v>0xD2</v>
      </c>
      <c r="AB287" s="58" t="str">
        <f t="shared" si="271"/>
        <v>0x46</v>
      </c>
      <c r="AC287" s="58" t="str">
        <f t="shared" si="271"/>
        <v>0x00</v>
      </c>
      <c r="AD287" s="58" t="str">
        <f t="shared" si="271"/>
        <v>0x19</v>
      </c>
      <c r="AE287" s="58" t="str">
        <f t="shared" si="271"/>
        <v>0x78</v>
      </c>
      <c r="AF287" s="58"/>
      <c r="AG287" s="58"/>
      <c r="AH287" s="58"/>
      <c r="AI287" s="58"/>
      <c r="AJ287" s="58"/>
      <c r="AK287" s="58"/>
      <c r="AL287" s="58"/>
      <c r="AM287" s="58"/>
      <c r="AN287" s="74" t="str">
        <f t="shared" si="252"/>
        <v>0xB0</v>
      </c>
    </row>
    <row r="288" hidden="1">
      <c r="A288" s="33" t="str">
        <f t="shared" si="2"/>
        <v>E912</v>
      </c>
      <c r="B288" s="34" t="str">
        <f>IFERROR(__xludf.DUMMYFUNCTION("REGEXREPLACE($H288, ""(?i)^8301(E000|E100|E200|E300)?"", """")"),"E91200D20FA4B9A8AFB530D037F4D2460064FCB0")</f>
        <v>E91200D20FA4B9A8AFB530D037F4D2460064FCB0</v>
      </c>
      <c r="C288" s="36" t="s">
        <v>14</v>
      </c>
      <c r="D288" s="36" t="s">
        <v>118</v>
      </c>
      <c r="E288" s="36" t="s">
        <v>75</v>
      </c>
      <c r="F288" s="36" t="s">
        <v>76</v>
      </c>
      <c r="G288" s="37">
        <v>46219.0</v>
      </c>
      <c r="H288" s="38" t="s">
        <v>341</v>
      </c>
      <c r="I288" s="36"/>
      <c r="J288" s="39" t="str">
        <f t="shared" si="3"/>
        <v>0x12</v>
      </c>
      <c r="K288" s="40" t="str">
        <f t="shared" si="4"/>
        <v>0x00</v>
      </c>
      <c r="L288" s="40" t="str">
        <f t="shared" si="5"/>
        <v>0xD2</v>
      </c>
      <c r="M288" s="42">
        <v>5.0</v>
      </c>
      <c r="N288" s="42" t="str">
        <f t="shared" si="263"/>
        <v>0x0F</v>
      </c>
      <c r="O288" s="48" t="str">
        <f t="shared" si="264"/>
        <v>0xA4</v>
      </c>
      <c r="P288" s="48" t="str">
        <f t="shared" si="265"/>
        <v>0xB9</v>
      </c>
      <c r="Q288" s="48" t="str">
        <f t="shared" si="266"/>
        <v>0xA8</v>
      </c>
      <c r="R288" s="42"/>
      <c r="S288" s="48" t="str">
        <f t="shared" si="267"/>
        <v>0xAF</v>
      </c>
      <c r="T288" s="48" t="str">
        <f t="shared" si="268"/>
        <v>0xB5</v>
      </c>
      <c r="U288" s="48"/>
      <c r="V288" s="40">
        <v>21.0</v>
      </c>
      <c r="W288" s="40" t="str">
        <f t="shared" si="72"/>
        <v>0x30</v>
      </c>
      <c r="X288" s="40" t="str">
        <f t="shared" ref="X288:AE288" si="272">"0x" &amp; MID($B288,$V288  + 2*(COLUMN() - COLUMN($W288)), 2)</f>
        <v>0xD0</v>
      </c>
      <c r="Y288" s="40" t="str">
        <f t="shared" si="272"/>
        <v>0x37</v>
      </c>
      <c r="Z288" s="40" t="str">
        <f t="shared" si="272"/>
        <v>0xF4</v>
      </c>
      <c r="AA288" s="40" t="str">
        <f t="shared" si="272"/>
        <v>0xD2</v>
      </c>
      <c r="AB288" s="40" t="str">
        <f t="shared" si="272"/>
        <v>0x46</v>
      </c>
      <c r="AC288" s="40" t="str">
        <f t="shared" si="272"/>
        <v>0x00</v>
      </c>
      <c r="AD288" s="40" t="str">
        <f t="shared" si="272"/>
        <v>0x64</v>
      </c>
      <c r="AE288" s="40" t="str">
        <f t="shared" si="272"/>
        <v>0xFC</v>
      </c>
      <c r="AF288" s="40"/>
      <c r="AG288" s="40"/>
      <c r="AH288" s="40"/>
      <c r="AI288" s="40"/>
      <c r="AJ288" s="40"/>
      <c r="AK288" s="40"/>
      <c r="AL288" s="40"/>
      <c r="AM288" s="40"/>
      <c r="AN288" s="64" t="str">
        <f t="shared" si="252"/>
        <v>0xB0</v>
      </c>
    </row>
    <row r="289" hidden="1">
      <c r="A289" s="51" t="str">
        <f t="shared" si="2"/>
        <v>E912</v>
      </c>
      <c r="B289" s="52" t="str">
        <f>IFERROR(__xludf.DUMMYFUNCTION("REGEXREPLACE($H289, ""(?i)^8301(E000|E100|E200|E300)?"", """")"),"E91200D30FB5B2A3AEB930D037F4D2460000FCB0")</f>
        <v>E91200D30FB5B2A3AEB930D037F4D2460000FCB0</v>
      </c>
      <c r="C289" s="65" t="s">
        <v>14</v>
      </c>
      <c r="D289" s="65" t="s">
        <v>118</v>
      </c>
      <c r="E289" s="54" t="s">
        <v>75</v>
      </c>
      <c r="F289" s="54" t="s">
        <v>76</v>
      </c>
      <c r="G289" s="55">
        <v>46235.0</v>
      </c>
      <c r="H289" s="56" t="s">
        <v>413</v>
      </c>
      <c r="I289" s="65"/>
      <c r="J289" s="57" t="str">
        <f t="shared" si="3"/>
        <v>0x12</v>
      </c>
      <c r="K289" s="58" t="str">
        <f t="shared" si="4"/>
        <v>0x00</v>
      </c>
      <c r="L289" s="58" t="str">
        <f t="shared" si="5"/>
        <v>0xD3</v>
      </c>
      <c r="M289" s="59">
        <v>5.0</v>
      </c>
      <c r="N289" s="59" t="str">
        <f t="shared" si="263"/>
        <v>0x0F</v>
      </c>
      <c r="O289" s="71" t="str">
        <f t="shared" si="264"/>
        <v>0xB5</v>
      </c>
      <c r="P289" s="71" t="str">
        <f t="shared" si="265"/>
        <v>0xB2</v>
      </c>
      <c r="Q289" s="71" t="str">
        <f t="shared" si="266"/>
        <v>0xA3</v>
      </c>
      <c r="R289" s="59"/>
      <c r="S289" s="71" t="str">
        <f t="shared" si="267"/>
        <v>0xAE</v>
      </c>
      <c r="T289" s="71" t="str">
        <f t="shared" si="268"/>
        <v>0xB9</v>
      </c>
      <c r="U289" s="71"/>
      <c r="V289" s="58">
        <v>21.0</v>
      </c>
      <c r="W289" s="58" t="str">
        <f t="shared" si="72"/>
        <v>0x30</v>
      </c>
      <c r="X289" s="58" t="str">
        <f t="shared" ref="X289:AE289" si="273">"0x" &amp; MID($B289,$V289  + 2*(COLUMN() - COLUMN($W289)), 2)</f>
        <v>0xD0</v>
      </c>
      <c r="Y289" s="58" t="str">
        <f t="shared" si="273"/>
        <v>0x37</v>
      </c>
      <c r="Z289" s="58" t="str">
        <f t="shared" si="273"/>
        <v>0xF4</v>
      </c>
      <c r="AA289" s="58" t="str">
        <f t="shared" si="273"/>
        <v>0xD2</v>
      </c>
      <c r="AB289" s="58" t="str">
        <f t="shared" si="273"/>
        <v>0x46</v>
      </c>
      <c r="AC289" s="58" t="str">
        <f t="shared" si="273"/>
        <v>0x00</v>
      </c>
      <c r="AD289" s="58" t="str">
        <f t="shared" si="273"/>
        <v>0x00</v>
      </c>
      <c r="AE289" s="58" t="str">
        <f t="shared" si="273"/>
        <v>0xFC</v>
      </c>
      <c r="AF289" s="58"/>
      <c r="AG289" s="58"/>
      <c r="AH289" s="58"/>
      <c r="AI289" s="58"/>
      <c r="AJ289" s="58"/>
      <c r="AK289" s="58"/>
      <c r="AL289" s="58"/>
      <c r="AM289" s="58"/>
      <c r="AN289" s="74" t="str">
        <f t="shared" si="252"/>
        <v>0xB0</v>
      </c>
    </row>
    <row r="290" hidden="1">
      <c r="A290" s="33" t="str">
        <f t="shared" si="2"/>
        <v>E913</v>
      </c>
      <c r="B290" s="34" t="str">
        <f>IFERROR(__xludf.DUMMYFUNCTION("REGEXREPLACE($H290, ""(?i)^8301(E000|E100|E200|E300)?"", """")"),"E91300080F5D5C58F44882D065FCD14602FA307B00")</f>
        <v>E91300080F5D5C58F44882D065FCD14602FA307B00</v>
      </c>
      <c r="C290" s="36" t="s">
        <v>505</v>
      </c>
      <c r="D290" s="36" t="s">
        <v>118</v>
      </c>
      <c r="E290" s="36" t="s">
        <v>106</v>
      </c>
      <c r="F290" s="36" t="s">
        <v>107</v>
      </c>
      <c r="G290" s="37">
        <v>46220.0</v>
      </c>
      <c r="H290" s="38" t="s">
        <v>326</v>
      </c>
      <c r="I290" s="36"/>
      <c r="J290" s="39" t="str">
        <f t="shared" si="3"/>
        <v>0x13</v>
      </c>
      <c r="K290" s="40" t="str">
        <f t="shared" si="4"/>
        <v>0x00</v>
      </c>
      <c r="L290" s="40" t="str">
        <f t="shared" si="5"/>
        <v>0x08</v>
      </c>
      <c r="M290" s="77">
        <v>2.0</v>
      </c>
      <c r="N290" s="78" t="str">
        <f t="shared" si="263"/>
        <v>0x0F</v>
      </c>
      <c r="O290" s="72" t="str">
        <f t="shared" si="264"/>
        <v>0x5D</v>
      </c>
      <c r="P290" s="72" t="str">
        <f t="shared" si="265"/>
        <v>0x5C</v>
      </c>
      <c r="Q290" s="79"/>
      <c r="R290" s="80"/>
      <c r="S290" s="79"/>
      <c r="T290" s="79"/>
      <c r="U290" s="79"/>
      <c r="V290" s="81">
        <v>15.0</v>
      </c>
      <c r="W290" s="40" t="str">
        <f t="shared" si="72"/>
        <v>0x58</v>
      </c>
      <c r="X290" s="40" t="str">
        <f t="shared" ref="X290:AJ290" si="274">"0x" &amp; MID($B290,$V290  + 2*(COLUMN() - COLUMN($W290)), 2)</f>
        <v>0xF4</v>
      </c>
      <c r="Y290" s="40" t="str">
        <f t="shared" si="274"/>
        <v>0x48</v>
      </c>
      <c r="Z290" s="40" t="str">
        <f t="shared" si="274"/>
        <v>0x82</v>
      </c>
      <c r="AA290" s="40" t="str">
        <f t="shared" si="274"/>
        <v>0xD0</v>
      </c>
      <c r="AB290" s="40" t="str">
        <f t="shared" si="274"/>
        <v>0x65</v>
      </c>
      <c r="AC290" s="40" t="str">
        <f t="shared" si="274"/>
        <v>0xFC</v>
      </c>
      <c r="AD290" s="40" t="str">
        <f t="shared" si="274"/>
        <v>0xD1</v>
      </c>
      <c r="AE290" s="40" t="str">
        <f t="shared" si="274"/>
        <v>0x46</v>
      </c>
      <c r="AF290" s="40" t="str">
        <f t="shared" si="274"/>
        <v>0x02</v>
      </c>
      <c r="AG290" s="40" t="str">
        <f t="shared" si="274"/>
        <v>0xFA</v>
      </c>
      <c r="AH290" s="40" t="str">
        <f t="shared" si="274"/>
        <v>0x30</v>
      </c>
      <c r="AI290" s="40" t="str">
        <f t="shared" si="274"/>
        <v>0x7B</v>
      </c>
      <c r="AJ290" s="40" t="str">
        <f t="shared" si="274"/>
        <v>0x00</v>
      </c>
      <c r="AK290" s="40"/>
      <c r="AL290" s="40"/>
      <c r="AM290" s="40"/>
      <c r="AN290" s="75"/>
    </row>
    <row r="291" hidden="1">
      <c r="A291" s="51" t="str">
        <f t="shared" si="2"/>
        <v>E913</v>
      </c>
      <c r="B291" s="52" t="str">
        <f>IFERROR(__xludf.DUMMYFUNCTION("REGEXREPLACE($H291, ""(?i)^8301(E000|E100|E200|E300)?"", """")"),"E913000F0FBDA4A4A4A47AEC5C022915291548ABB0")</f>
        <v>E913000F0FBDA4A4A4A47AEC5C022915291548ABB0</v>
      </c>
      <c r="C291" s="65" t="s">
        <v>18</v>
      </c>
      <c r="D291" s="65" t="s">
        <v>518</v>
      </c>
      <c r="E291" s="65" t="s">
        <v>75</v>
      </c>
      <c r="F291" s="65" t="s">
        <v>120</v>
      </c>
      <c r="G291" s="67">
        <v>46219.0</v>
      </c>
      <c r="H291" s="68" t="s">
        <v>414</v>
      </c>
      <c r="I291" s="65"/>
      <c r="J291" s="57" t="str">
        <f t="shared" si="3"/>
        <v>0x13</v>
      </c>
      <c r="K291" s="58" t="str">
        <f t="shared" si="4"/>
        <v>0x00</v>
      </c>
      <c r="L291" s="58" t="str">
        <f t="shared" si="5"/>
        <v>0x0F</v>
      </c>
      <c r="M291" s="59">
        <v>4.0</v>
      </c>
      <c r="N291" s="59" t="str">
        <f t="shared" si="263"/>
        <v>0x0F</v>
      </c>
      <c r="O291" s="71" t="str">
        <f t="shared" si="264"/>
        <v>0xBD</v>
      </c>
      <c r="P291" s="71" t="str">
        <f t="shared" si="265"/>
        <v>0xA4</v>
      </c>
      <c r="Q291" s="71" t="str">
        <f t="shared" ref="Q291:Q293" si="276">"0x"&amp;MID($B291,15,2)</f>
        <v>0xA4</v>
      </c>
      <c r="R291" s="59"/>
      <c r="S291" s="71" t="str">
        <f t="shared" ref="S291:S293" si="277">"0x"&amp;MID($B291,17,2)</f>
        <v>0xA4</v>
      </c>
      <c r="T291" s="71" t="str">
        <f t="shared" ref="T291:T293" si="278">"0x"&amp;MID($B291,19,2)</f>
        <v>0xA4</v>
      </c>
      <c r="U291" s="71"/>
      <c r="V291" s="58">
        <v>21.0</v>
      </c>
      <c r="W291" s="58" t="str">
        <f t="shared" si="72"/>
        <v>0x7A</v>
      </c>
      <c r="X291" s="58" t="str">
        <f t="shared" ref="X291:AF291" si="275">"0x" &amp; MID($B291,$V291  + 2*(COLUMN() - COLUMN($W291)), 2)</f>
        <v>0xEC</v>
      </c>
      <c r="Y291" s="58" t="str">
        <f t="shared" si="275"/>
        <v>0x5C</v>
      </c>
      <c r="Z291" s="58" t="str">
        <f t="shared" si="275"/>
        <v>0x02</v>
      </c>
      <c r="AA291" s="58" t="str">
        <f t="shared" si="275"/>
        <v>0x29</v>
      </c>
      <c r="AB291" s="58" t="str">
        <f t="shared" si="275"/>
        <v>0x15</v>
      </c>
      <c r="AC291" s="58" t="str">
        <f t="shared" si="275"/>
        <v>0x29</v>
      </c>
      <c r="AD291" s="58" t="str">
        <f t="shared" si="275"/>
        <v>0x15</v>
      </c>
      <c r="AE291" s="58" t="str">
        <f t="shared" si="275"/>
        <v>0x48</v>
      </c>
      <c r="AF291" s="58" t="str">
        <f t="shared" si="275"/>
        <v>0xAB</v>
      </c>
      <c r="AG291" s="58"/>
      <c r="AH291" s="58"/>
      <c r="AI291" s="58"/>
      <c r="AJ291" s="58"/>
      <c r="AK291" s="58"/>
      <c r="AL291" s="58"/>
      <c r="AM291" s="58"/>
      <c r="AN291" s="74" t="str">
        <f t="shared" ref="AN291:AN293" si="280">"0x"&amp;MID($B291,41,2)</f>
        <v>0xB0</v>
      </c>
    </row>
    <row r="292" hidden="1">
      <c r="A292" s="33" t="str">
        <f t="shared" si="2"/>
        <v>E913</v>
      </c>
      <c r="B292" s="34" t="str">
        <f>IFERROR(__xludf.DUMMYFUNCTION("REGEXREPLACE($H292, ""(?i)^8301(E000|E100|E200|E300)?"", """")"),"E91300420FBDB5AFB5AF7AEC5C0A2915291548ABB0")</f>
        <v>E91300420FBDB5AFB5AF7AEC5C0A2915291548ABB0</v>
      </c>
      <c r="C292" s="36" t="s">
        <v>18</v>
      </c>
      <c r="D292" s="36" t="s">
        <v>518</v>
      </c>
      <c r="E292" s="36" t="s">
        <v>106</v>
      </c>
      <c r="F292" s="36" t="s">
        <v>175</v>
      </c>
      <c r="G292" s="37">
        <v>46220.0</v>
      </c>
      <c r="H292" s="38" t="s">
        <v>415</v>
      </c>
      <c r="I292" s="36"/>
      <c r="J292" s="39" t="str">
        <f t="shared" si="3"/>
        <v>0x13</v>
      </c>
      <c r="K292" s="40" t="str">
        <f t="shared" si="4"/>
        <v>0x00</v>
      </c>
      <c r="L292" s="40" t="str">
        <f t="shared" si="5"/>
        <v>0x42</v>
      </c>
      <c r="M292" s="42">
        <v>4.0</v>
      </c>
      <c r="N292" s="42" t="str">
        <f t="shared" si="263"/>
        <v>0x0F</v>
      </c>
      <c r="O292" s="48" t="str">
        <f t="shared" si="264"/>
        <v>0xBD</v>
      </c>
      <c r="P292" s="48" t="str">
        <f t="shared" si="265"/>
        <v>0xB5</v>
      </c>
      <c r="Q292" s="48" t="str">
        <f t="shared" si="276"/>
        <v>0xAF</v>
      </c>
      <c r="R292" s="42"/>
      <c r="S292" s="48" t="str">
        <f t="shared" si="277"/>
        <v>0xB5</v>
      </c>
      <c r="T292" s="48" t="str">
        <f t="shared" si="278"/>
        <v>0xAF</v>
      </c>
      <c r="U292" s="48"/>
      <c r="V292" s="40">
        <v>21.0</v>
      </c>
      <c r="W292" s="40" t="str">
        <f t="shared" si="72"/>
        <v>0x7A</v>
      </c>
      <c r="X292" s="40" t="str">
        <f t="shared" ref="X292:AF292" si="279">"0x" &amp; MID($B292,$V292  + 2*(COLUMN() - COLUMN($W292)), 2)</f>
        <v>0xEC</v>
      </c>
      <c r="Y292" s="40" t="str">
        <f t="shared" si="279"/>
        <v>0x5C</v>
      </c>
      <c r="Z292" s="40" t="str">
        <f t="shared" si="279"/>
        <v>0x0A</v>
      </c>
      <c r="AA292" s="40" t="str">
        <f t="shared" si="279"/>
        <v>0x29</v>
      </c>
      <c r="AB292" s="40" t="str">
        <f t="shared" si="279"/>
        <v>0x15</v>
      </c>
      <c r="AC292" s="40" t="str">
        <f t="shared" si="279"/>
        <v>0x29</v>
      </c>
      <c r="AD292" s="40" t="str">
        <f t="shared" si="279"/>
        <v>0x15</v>
      </c>
      <c r="AE292" s="40" t="str">
        <f t="shared" si="279"/>
        <v>0x48</v>
      </c>
      <c r="AF292" s="40" t="str">
        <f t="shared" si="279"/>
        <v>0xAB</v>
      </c>
      <c r="AG292" s="40"/>
      <c r="AH292" s="40"/>
      <c r="AI292" s="40"/>
      <c r="AJ292" s="40"/>
      <c r="AK292" s="40"/>
      <c r="AL292" s="40"/>
      <c r="AM292" s="40"/>
      <c r="AN292" s="64" t="str">
        <f t="shared" si="280"/>
        <v>0xB0</v>
      </c>
    </row>
    <row r="293" hidden="1">
      <c r="A293" s="51" t="str">
        <f t="shared" si="2"/>
        <v>E913</v>
      </c>
      <c r="B293" s="52" t="str">
        <f>IFERROR(__xludf.DUMMYFUNCTION("REGEXREPLACE($H293, ""(?i)^8301(E000|E100|E200|E300)?"", """")"),"E91300440FBDB1ADB1AD7AEC5C062915291548ABB0")</f>
        <v>E91300440FBDB1ADB1AD7AEC5C062915291548ABB0</v>
      </c>
      <c r="C293" s="65" t="s">
        <v>18</v>
      </c>
      <c r="D293" s="65" t="s">
        <v>518</v>
      </c>
      <c r="E293" s="65" t="s">
        <v>75</v>
      </c>
      <c r="F293" s="65" t="s">
        <v>120</v>
      </c>
      <c r="G293" s="67">
        <v>46228.0</v>
      </c>
      <c r="H293" s="68" t="s">
        <v>416</v>
      </c>
      <c r="I293" s="65"/>
      <c r="J293" s="57" t="str">
        <f t="shared" si="3"/>
        <v>0x13</v>
      </c>
      <c r="K293" s="58" t="str">
        <f t="shared" si="4"/>
        <v>0x00</v>
      </c>
      <c r="L293" s="58" t="str">
        <f t="shared" si="5"/>
        <v>0x44</v>
      </c>
      <c r="M293" s="59">
        <v>4.0</v>
      </c>
      <c r="N293" s="59" t="str">
        <f t="shared" si="263"/>
        <v>0x0F</v>
      </c>
      <c r="O293" s="71" t="str">
        <f t="shared" si="264"/>
        <v>0xBD</v>
      </c>
      <c r="P293" s="71" t="str">
        <f t="shared" si="265"/>
        <v>0xB1</v>
      </c>
      <c r="Q293" s="71" t="str">
        <f t="shared" si="276"/>
        <v>0xAD</v>
      </c>
      <c r="R293" s="59"/>
      <c r="S293" s="71" t="str">
        <f t="shared" si="277"/>
        <v>0xB1</v>
      </c>
      <c r="T293" s="71" t="str">
        <f t="shared" si="278"/>
        <v>0xAD</v>
      </c>
      <c r="U293" s="71"/>
      <c r="V293" s="58">
        <v>21.0</v>
      </c>
      <c r="W293" s="58" t="str">
        <f t="shared" si="72"/>
        <v>0x7A</v>
      </c>
      <c r="X293" s="58" t="str">
        <f t="shared" ref="X293:AF293" si="281">"0x" &amp; MID($B293,$V293  + 2*(COLUMN() - COLUMN($W293)), 2)</f>
        <v>0xEC</v>
      </c>
      <c r="Y293" s="58" t="str">
        <f t="shared" si="281"/>
        <v>0x5C</v>
      </c>
      <c r="Z293" s="58" t="str">
        <f t="shared" si="281"/>
        <v>0x06</v>
      </c>
      <c r="AA293" s="58" t="str">
        <f t="shared" si="281"/>
        <v>0x29</v>
      </c>
      <c r="AB293" s="58" t="str">
        <f t="shared" si="281"/>
        <v>0x15</v>
      </c>
      <c r="AC293" s="58" t="str">
        <f t="shared" si="281"/>
        <v>0x29</v>
      </c>
      <c r="AD293" s="58" t="str">
        <f t="shared" si="281"/>
        <v>0x15</v>
      </c>
      <c r="AE293" s="58" t="str">
        <f t="shared" si="281"/>
        <v>0x48</v>
      </c>
      <c r="AF293" s="58" t="str">
        <f t="shared" si="281"/>
        <v>0xAB</v>
      </c>
      <c r="AG293" s="58"/>
      <c r="AH293" s="58"/>
      <c r="AI293" s="58"/>
      <c r="AJ293" s="58"/>
      <c r="AK293" s="58"/>
      <c r="AL293" s="58"/>
      <c r="AM293" s="58"/>
      <c r="AN293" s="74" t="str">
        <f t="shared" si="280"/>
        <v>0xB0</v>
      </c>
    </row>
    <row r="294" hidden="1">
      <c r="A294" s="33" t="str">
        <f t="shared" si="2"/>
        <v>E913</v>
      </c>
      <c r="B294" s="34" t="str">
        <f>IFERROR(__xludf.DUMMYFUNCTION("REGEXREPLACE($H294, ""(?i)^8301(E000|E100|E200|E300)?"", """")"),"E9130044D037F0D23D0507000EF58983510EF50C46")</f>
        <v>E9130044D037F0D23D0507000EF58983510EF50C46</v>
      </c>
      <c r="C294" s="36" t="s">
        <v>60</v>
      </c>
      <c r="D294" s="36" t="s">
        <v>526</v>
      </c>
      <c r="E294" s="36" t="s">
        <v>106</v>
      </c>
      <c r="F294" s="36" t="s">
        <v>107</v>
      </c>
      <c r="G294" s="37">
        <v>46220.0</v>
      </c>
      <c r="H294" s="38" t="s">
        <v>417</v>
      </c>
      <c r="I294" s="36" t="s">
        <v>153</v>
      </c>
      <c r="J294" s="39" t="str">
        <f t="shared" si="3"/>
        <v>0x13</v>
      </c>
      <c r="K294" s="40" t="str">
        <f t="shared" si="4"/>
        <v>0x00</v>
      </c>
      <c r="L294" s="40" t="str">
        <f t="shared" si="5"/>
        <v>0x44</v>
      </c>
      <c r="M294" s="42"/>
      <c r="N294" s="42"/>
      <c r="O294" s="48"/>
      <c r="P294" s="48"/>
      <c r="Q294" s="48"/>
      <c r="R294" s="42"/>
      <c r="S294" s="72"/>
      <c r="T294" s="72"/>
      <c r="U294" s="72"/>
      <c r="V294" s="73">
        <v>9.0</v>
      </c>
      <c r="W294" s="47" t="str">
        <f t="shared" si="72"/>
        <v>0xD0</v>
      </c>
      <c r="X294" s="47" t="str">
        <f t="shared" ref="X294:AM294" si="282">"0x" &amp; MID($B294,$V294  + 2*(COLUMN() - COLUMN($W294)), 2)</f>
        <v>0x37</v>
      </c>
      <c r="Y294" s="47" t="str">
        <f t="shared" si="282"/>
        <v>0xF0</v>
      </c>
      <c r="Z294" s="47" t="str">
        <f t="shared" si="282"/>
        <v>0xD2</v>
      </c>
      <c r="AA294" s="47" t="str">
        <f t="shared" si="282"/>
        <v>0x3D</v>
      </c>
      <c r="AB294" s="47" t="str">
        <f t="shared" si="282"/>
        <v>0x05</v>
      </c>
      <c r="AC294" s="47" t="str">
        <f t="shared" si="282"/>
        <v>0x07</v>
      </c>
      <c r="AD294" s="47" t="str">
        <f t="shared" si="282"/>
        <v>0x00</v>
      </c>
      <c r="AE294" s="47" t="str">
        <f t="shared" si="282"/>
        <v>0x0E</v>
      </c>
      <c r="AF294" s="47" t="str">
        <f t="shared" si="282"/>
        <v>0xF5</v>
      </c>
      <c r="AG294" s="47" t="str">
        <f t="shared" si="282"/>
        <v>0x89</v>
      </c>
      <c r="AH294" s="47" t="str">
        <f t="shared" si="282"/>
        <v>0x83</v>
      </c>
      <c r="AI294" s="47" t="str">
        <f t="shared" si="282"/>
        <v>0x51</v>
      </c>
      <c r="AJ294" s="47" t="str">
        <f t="shared" si="282"/>
        <v>0x0E</v>
      </c>
      <c r="AK294" s="47" t="str">
        <f t="shared" si="282"/>
        <v>0xF5</v>
      </c>
      <c r="AL294" s="47" t="str">
        <f t="shared" si="282"/>
        <v>0x0C</v>
      </c>
      <c r="AM294" s="47" t="str">
        <f t="shared" si="282"/>
        <v>0x46</v>
      </c>
      <c r="AN294" s="64"/>
    </row>
    <row r="295" hidden="1">
      <c r="A295" s="51" t="str">
        <f t="shared" si="2"/>
        <v>E913</v>
      </c>
      <c r="B295" s="52" t="str">
        <f>IFERROR(__xludf.DUMMYFUNCTION("REGEXREPLACE($H295, ""(?i)^8301(E000|E100|E200|E300)?"", """")"),"E91300520F5D4458F44882D0650AD14602C8307B00")</f>
        <v>E91300520F5D4458F44882D0650AD14602C8307B00</v>
      </c>
      <c r="C295" s="65" t="s">
        <v>14</v>
      </c>
      <c r="D295" s="65" t="s">
        <v>342</v>
      </c>
      <c r="E295" s="65" t="s">
        <v>106</v>
      </c>
      <c r="F295" s="65" t="s">
        <v>107</v>
      </c>
      <c r="G295" s="67">
        <v>46220.0</v>
      </c>
      <c r="H295" s="68" t="s">
        <v>346</v>
      </c>
      <c r="I295" s="65"/>
      <c r="J295" s="57" t="str">
        <f t="shared" si="3"/>
        <v>0x13</v>
      </c>
      <c r="K295" s="58" t="str">
        <f t="shared" si="4"/>
        <v>0x00</v>
      </c>
      <c r="L295" s="58" t="str">
        <f t="shared" si="5"/>
        <v>0x52</v>
      </c>
      <c r="M295" s="82">
        <v>2.0</v>
      </c>
      <c r="N295" s="83" t="str">
        <f t="shared" ref="N295:N311" si="284">"0x"&amp;MID($B295,9,2)</f>
        <v>0x0F</v>
      </c>
      <c r="O295" s="84" t="str">
        <f t="shared" ref="O295:O311" si="285">"0x"&amp;MID($B295,11,2)</f>
        <v>0x5D</v>
      </c>
      <c r="P295" s="84" t="str">
        <f t="shared" ref="P295:P311" si="286">"0x"&amp;MID($B295,13,2)</f>
        <v>0x44</v>
      </c>
      <c r="Q295" s="85"/>
      <c r="R295" s="86"/>
      <c r="S295" s="85"/>
      <c r="T295" s="85"/>
      <c r="U295" s="85"/>
      <c r="V295" s="87">
        <v>15.0</v>
      </c>
      <c r="W295" s="58" t="str">
        <f t="shared" si="72"/>
        <v>0x58</v>
      </c>
      <c r="X295" s="58" t="str">
        <f t="shared" ref="X295:AJ295" si="283">"0x" &amp; MID($B295,$V295  + 2*(COLUMN() - COLUMN($W295)), 2)</f>
        <v>0xF4</v>
      </c>
      <c r="Y295" s="58" t="str">
        <f t="shared" si="283"/>
        <v>0x48</v>
      </c>
      <c r="Z295" s="58" t="str">
        <f t="shared" si="283"/>
        <v>0x82</v>
      </c>
      <c r="AA295" s="58" t="str">
        <f t="shared" si="283"/>
        <v>0xD0</v>
      </c>
      <c r="AB295" s="58" t="str">
        <f t="shared" si="283"/>
        <v>0x65</v>
      </c>
      <c r="AC295" s="58" t="str">
        <f t="shared" si="283"/>
        <v>0x0A</v>
      </c>
      <c r="AD295" s="58" t="str">
        <f t="shared" si="283"/>
        <v>0xD1</v>
      </c>
      <c r="AE295" s="58" t="str">
        <f t="shared" si="283"/>
        <v>0x46</v>
      </c>
      <c r="AF295" s="58" t="str">
        <f t="shared" si="283"/>
        <v>0x02</v>
      </c>
      <c r="AG295" s="58" t="str">
        <f t="shared" si="283"/>
        <v>0xC8</v>
      </c>
      <c r="AH295" s="58" t="str">
        <f t="shared" si="283"/>
        <v>0x30</v>
      </c>
      <c r="AI295" s="58" t="str">
        <f t="shared" si="283"/>
        <v>0x7B</v>
      </c>
      <c r="AJ295" s="58" t="str">
        <f t="shared" si="283"/>
        <v>0x00</v>
      </c>
      <c r="AK295" s="58"/>
      <c r="AL295" s="58"/>
      <c r="AM295" s="58"/>
      <c r="AN295" s="88"/>
    </row>
    <row r="296" hidden="1">
      <c r="A296" s="33" t="str">
        <f t="shared" si="2"/>
        <v>E913</v>
      </c>
      <c r="B296" s="34" t="str">
        <f>IFERROR(__xludf.DUMMYFUNCTION("REGEXREPLACE($H296, ""(?i)^8301(E000|E100|E200|E300)?"", """")"),"E913005F0F445C58F44882D06535D1462A01307BA1")</f>
        <v>E913005F0F445C58F44882D06535D1462A01307BA1</v>
      </c>
      <c r="C296" s="36" t="s">
        <v>25</v>
      </c>
      <c r="D296" s="36" t="s">
        <v>492</v>
      </c>
      <c r="E296" s="36" t="s">
        <v>106</v>
      </c>
      <c r="F296" s="36" t="s">
        <v>107</v>
      </c>
      <c r="G296" s="37">
        <v>46220.0</v>
      </c>
      <c r="H296" s="38" t="s">
        <v>418</v>
      </c>
      <c r="I296" s="36"/>
      <c r="J296" s="39" t="str">
        <f t="shared" si="3"/>
        <v>0x13</v>
      </c>
      <c r="K296" s="40" t="str">
        <f t="shared" si="4"/>
        <v>0x00</v>
      </c>
      <c r="L296" s="40" t="str">
        <f t="shared" si="5"/>
        <v>0x5F</v>
      </c>
      <c r="M296" s="77">
        <v>2.0</v>
      </c>
      <c r="N296" s="78" t="str">
        <f t="shared" si="284"/>
        <v>0x0F</v>
      </c>
      <c r="O296" s="72" t="str">
        <f t="shared" si="285"/>
        <v>0x44</v>
      </c>
      <c r="P296" s="72" t="str">
        <f t="shared" si="286"/>
        <v>0x5C</v>
      </c>
      <c r="Q296" s="79"/>
      <c r="R296" s="80"/>
      <c r="S296" s="79"/>
      <c r="T296" s="79"/>
      <c r="U296" s="79"/>
      <c r="V296" s="81">
        <v>15.0</v>
      </c>
      <c r="W296" s="40" t="str">
        <f t="shared" si="72"/>
        <v>0x58</v>
      </c>
      <c r="X296" s="40" t="str">
        <f t="shared" ref="X296:AJ296" si="287">"0x" &amp; MID($B296,$V296  + 2*(COLUMN() - COLUMN($W296)), 2)</f>
        <v>0xF4</v>
      </c>
      <c r="Y296" s="40" t="str">
        <f t="shared" si="287"/>
        <v>0x48</v>
      </c>
      <c r="Z296" s="40" t="str">
        <f t="shared" si="287"/>
        <v>0x82</v>
      </c>
      <c r="AA296" s="40" t="str">
        <f t="shared" si="287"/>
        <v>0xD0</v>
      </c>
      <c r="AB296" s="40" t="str">
        <f t="shared" si="287"/>
        <v>0x65</v>
      </c>
      <c r="AC296" s="40" t="str">
        <f t="shared" si="287"/>
        <v>0x35</v>
      </c>
      <c r="AD296" s="40" t="str">
        <f t="shared" si="287"/>
        <v>0xD1</v>
      </c>
      <c r="AE296" s="40" t="str">
        <f t="shared" si="287"/>
        <v>0x46</v>
      </c>
      <c r="AF296" s="40" t="str">
        <f t="shared" si="287"/>
        <v>0x2A</v>
      </c>
      <c r="AG296" s="40" t="str">
        <f t="shared" si="287"/>
        <v>0x01</v>
      </c>
      <c r="AH296" s="40" t="str">
        <f t="shared" si="287"/>
        <v>0x30</v>
      </c>
      <c r="AI296" s="40" t="str">
        <f t="shared" si="287"/>
        <v>0x7B</v>
      </c>
      <c r="AJ296" s="40" t="str">
        <f t="shared" si="287"/>
        <v>0xA1</v>
      </c>
      <c r="AK296" s="40"/>
      <c r="AL296" s="40"/>
      <c r="AM296" s="40"/>
      <c r="AN296" s="75"/>
    </row>
    <row r="297" hidden="1">
      <c r="A297" s="51" t="str">
        <f t="shared" si="2"/>
        <v>E913</v>
      </c>
      <c r="B297" s="52" t="str">
        <f>IFERROR(__xludf.DUMMYFUNCTION("REGEXREPLACE($H297, ""(?i)^8301(E000|E100|E200|E300)?"", """")"),"E913005F0F445C58F44882D06535D1462A85307BA1")</f>
        <v>E913005F0F445C58F44882D06535D1462A85307BA1</v>
      </c>
      <c r="C297" s="65" t="s">
        <v>25</v>
      </c>
      <c r="D297" s="65" t="s">
        <v>492</v>
      </c>
      <c r="E297" s="65" t="s">
        <v>106</v>
      </c>
      <c r="F297" s="65" t="s">
        <v>107</v>
      </c>
      <c r="G297" s="67">
        <v>46220.0</v>
      </c>
      <c r="H297" s="68" t="s">
        <v>419</v>
      </c>
      <c r="I297" s="65"/>
      <c r="J297" s="57" t="str">
        <f t="shared" si="3"/>
        <v>0x13</v>
      </c>
      <c r="K297" s="58" t="str">
        <f t="shared" si="4"/>
        <v>0x00</v>
      </c>
      <c r="L297" s="58" t="str">
        <f t="shared" si="5"/>
        <v>0x5F</v>
      </c>
      <c r="M297" s="82">
        <v>2.0</v>
      </c>
      <c r="N297" s="83" t="str">
        <f t="shared" si="284"/>
        <v>0x0F</v>
      </c>
      <c r="O297" s="84" t="str">
        <f t="shared" si="285"/>
        <v>0x44</v>
      </c>
      <c r="P297" s="84" t="str">
        <f t="shared" si="286"/>
        <v>0x5C</v>
      </c>
      <c r="Q297" s="85"/>
      <c r="R297" s="86"/>
      <c r="S297" s="85"/>
      <c r="T297" s="85"/>
      <c r="U297" s="85"/>
      <c r="V297" s="87">
        <v>15.0</v>
      </c>
      <c r="W297" s="58" t="str">
        <f t="shared" si="72"/>
        <v>0x58</v>
      </c>
      <c r="X297" s="58" t="str">
        <f t="shared" ref="X297:AJ297" si="288">"0x" &amp; MID($B297,$V297  + 2*(COLUMN() - COLUMN($W297)), 2)</f>
        <v>0xF4</v>
      </c>
      <c r="Y297" s="58" t="str">
        <f t="shared" si="288"/>
        <v>0x48</v>
      </c>
      <c r="Z297" s="58" t="str">
        <f t="shared" si="288"/>
        <v>0x82</v>
      </c>
      <c r="AA297" s="58" t="str">
        <f t="shared" si="288"/>
        <v>0xD0</v>
      </c>
      <c r="AB297" s="58" t="str">
        <f t="shared" si="288"/>
        <v>0x65</v>
      </c>
      <c r="AC297" s="58" t="str">
        <f t="shared" si="288"/>
        <v>0x35</v>
      </c>
      <c r="AD297" s="58" t="str">
        <f t="shared" si="288"/>
        <v>0xD1</v>
      </c>
      <c r="AE297" s="58" t="str">
        <f t="shared" si="288"/>
        <v>0x46</v>
      </c>
      <c r="AF297" s="58" t="str">
        <f t="shared" si="288"/>
        <v>0x2A</v>
      </c>
      <c r="AG297" s="58" t="str">
        <f t="shared" si="288"/>
        <v>0x85</v>
      </c>
      <c r="AH297" s="58" t="str">
        <f t="shared" si="288"/>
        <v>0x30</v>
      </c>
      <c r="AI297" s="58" t="str">
        <f t="shared" si="288"/>
        <v>0x7B</v>
      </c>
      <c r="AJ297" s="58" t="str">
        <f t="shared" si="288"/>
        <v>0xA1</v>
      </c>
      <c r="AK297" s="58"/>
      <c r="AL297" s="58"/>
      <c r="AM297" s="58"/>
      <c r="AN297" s="88"/>
    </row>
    <row r="298" hidden="1">
      <c r="A298" s="33" t="str">
        <f t="shared" si="2"/>
        <v>E913</v>
      </c>
      <c r="B298" s="34" t="str">
        <f>IFERROR(__xludf.DUMMYFUNCTION("REGEXREPLACE($H298, ""(?i)^8301(E000|E100|E200|E300)?"", """")"),"E913005F0F5D4F58F44882D06535D1460A01307BA1")</f>
        <v>E913005F0F5D4F58F44882D06535D1460A01307BA1</v>
      </c>
      <c r="C298" s="36" t="s">
        <v>25</v>
      </c>
      <c r="D298" s="36" t="s">
        <v>492</v>
      </c>
      <c r="E298" s="36" t="s">
        <v>106</v>
      </c>
      <c r="F298" s="36" t="s">
        <v>107</v>
      </c>
      <c r="G298" s="37">
        <v>46220.0</v>
      </c>
      <c r="H298" s="38" t="s">
        <v>420</v>
      </c>
      <c r="I298" s="36"/>
      <c r="J298" s="39" t="str">
        <f t="shared" si="3"/>
        <v>0x13</v>
      </c>
      <c r="K298" s="40" t="str">
        <f t="shared" si="4"/>
        <v>0x00</v>
      </c>
      <c r="L298" s="40" t="str">
        <f t="shared" si="5"/>
        <v>0x5F</v>
      </c>
      <c r="M298" s="77">
        <v>2.0</v>
      </c>
      <c r="N298" s="78" t="str">
        <f t="shared" si="284"/>
        <v>0x0F</v>
      </c>
      <c r="O298" s="72" t="str">
        <f t="shared" si="285"/>
        <v>0x5D</v>
      </c>
      <c r="P298" s="72" t="str">
        <f t="shared" si="286"/>
        <v>0x4F</v>
      </c>
      <c r="Q298" s="79"/>
      <c r="R298" s="80"/>
      <c r="S298" s="79"/>
      <c r="T298" s="79"/>
      <c r="U298" s="79"/>
      <c r="V298" s="81">
        <v>15.0</v>
      </c>
      <c r="W298" s="40" t="str">
        <f t="shared" si="72"/>
        <v>0x58</v>
      </c>
      <c r="X298" s="40" t="str">
        <f t="shared" ref="X298:AJ298" si="289">"0x" &amp; MID($B298,$V298  + 2*(COLUMN() - COLUMN($W298)), 2)</f>
        <v>0xF4</v>
      </c>
      <c r="Y298" s="40" t="str">
        <f t="shared" si="289"/>
        <v>0x48</v>
      </c>
      <c r="Z298" s="40" t="str">
        <f t="shared" si="289"/>
        <v>0x82</v>
      </c>
      <c r="AA298" s="40" t="str">
        <f t="shared" si="289"/>
        <v>0xD0</v>
      </c>
      <c r="AB298" s="40" t="str">
        <f t="shared" si="289"/>
        <v>0x65</v>
      </c>
      <c r="AC298" s="40" t="str">
        <f t="shared" si="289"/>
        <v>0x35</v>
      </c>
      <c r="AD298" s="40" t="str">
        <f t="shared" si="289"/>
        <v>0xD1</v>
      </c>
      <c r="AE298" s="40" t="str">
        <f t="shared" si="289"/>
        <v>0x46</v>
      </c>
      <c r="AF298" s="40" t="str">
        <f t="shared" si="289"/>
        <v>0x0A</v>
      </c>
      <c r="AG298" s="40" t="str">
        <f t="shared" si="289"/>
        <v>0x01</v>
      </c>
      <c r="AH298" s="40" t="str">
        <f t="shared" si="289"/>
        <v>0x30</v>
      </c>
      <c r="AI298" s="40" t="str">
        <f t="shared" si="289"/>
        <v>0x7B</v>
      </c>
      <c r="AJ298" s="40" t="str">
        <f t="shared" si="289"/>
        <v>0xA1</v>
      </c>
      <c r="AK298" s="40"/>
      <c r="AL298" s="40"/>
      <c r="AM298" s="40"/>
      <c r="AN298" s="75"/>
    </row>
    <row r="299" hidden="1">
      <c r="A299" s="51" t="str">
        <f t="shared" si="2"/>
        <v>E913</v>
      </c>
      <c r="B299" s="52" t="str">
        <f>IFERROR(__xludf.DUMMYFUNCTION("REGEXREPLACE($H299, ""(?i)^8301(E000|E100|E200|E300)?"", """")"),"E913006B0F435658F44882D0650AD14602C8307B00")</f>
        <v>E913006B0F435658F44882D0650AD14602C8307B00</v>
      </c>
      <c r="C299" s="65" t="s">
        <v>14</v>
      </c>
      <c r="D299" s="65" t="s">
        <v>342</v>
      </c>
      <c r="E299" s="65" t="s">
        <v>106</v>
      </c>
      <c r="F299" s="65" t="s">
        <v>107</v>
      </c>
      <c r="G299" s="67">
        <v>46220.0</v>
      </c>
      <c r="H299" s="68" t="s">
        <v>421</v>
      </c>
      <c r="I299" s="65"/>
      <c r="J299" s="57" t="str">
        <f t="shared" si="3"/>
        <v>0x13</v>
      </c>
      <c r="K299" s="58" t="str">
        <f t="shared" si="4"/>
        <v>0x00</v>
      </c>
      <c r="L299" s="58" t="str">
        <f t="shared" si="5"/>
        <v>0x6B</v>
      </c>
      <c r="M299" s="82">
        <v>2.0</v>
      </c>
      <c r="N299" s="83" t="str">
        <f t="shared" si="284"/>
        <v>0x0F</v>
      </c>
      <c r="O299" s="84" t="str">
        <f t="shared" si="285"/>
        <v>0x43</v>
      </c>
      <c r="P299" s="84" t="str">
        <f t="shared" si="286"/>
        <v>0x56</v>
      </c>
      <c r="Q299" s="85"/>
      <c r="R299" s="86"/>
      <c r="S299" s="85"/>
      <c r="T299" s="85"/>
      <c r="U299" s="85"/>
      <c r="V299" s="87">
        <v>15.0</v>
      </c>
      <c r="W299" s="58" t="str">
        <f t="shared" si="72"/>
        <v>0x58</v>
      </c>
      <c r="X299" s="58" t="str">
        <f t="shared" ref="X299:AJ299" si="290">"0x" &amp; MID($B299,$V299  + 2*(COLUMN() - COLUMN($W299)), 2)</f>
        <v>0xF4</v>
      </c>
      <c r="Y299" s="58" t="str">
        <f t="shared" si="290"/>
        <v>0x48</v>
      </c>
      <c r="Z299" s="58" t="str">
        <f t="shared" si="290"/>
        <v>0x82</v>
      </c>
      <c r="AA299" s="58" t="str">
        <f t="shared" si="290"/>
        <v>0xD0</v>
      </c>
      <c r="AB299" s="58" t="str">
        <f t="shared" si="290"/>
        <v>0x65</v>
      </c>
      <c r="AC299" s="58" t="str">
        <f t="shared" si="290"/>
        <v>0x0A</v>
      </c>
      <c r="AD299" s="58" t="str">
        <f t="shared" si="290"/>
        <v>0xD1</v>
      </c>
      <c r="AE299" s="58" t="str">
        <f t="shared" si="290"/>
        <v>0x46</v>
      </c>
      <c r="AF299" s="58" t="str">
        <f t="shared" si="290"/>
        <v>0x02</v>
      </c>
      <c r="AG299" s="58" t="str">
        <f t="shared" si="290"/>
        <v>0xC8</v>
      </c>
      <c r="AH299" s="58" t="str">
        <f t="shared" si="290"/>
        <v>0x30</v>
      </c>
      <c r="AI299" s="58" t="str">
        <f t="shared" si="290"/>
        <v>0x7B</v>
      </c>
      <c r="AJ299" s="58" t="str">
        <f t="shared" si="290"/>
        <v>0x00</v>
      </c>
      <c r="AK299" s="58"/>
      <c r="AL299" s="58"/>
      <c r="AM299" s="58"/>
      <c r="AN299" s="88"/>
    </row>
    <row r="300" hidden="1">
      <c r="A300" s="33" t="str">
        <f t="shared" si="2"/>
        <v>E913</v>
      </c>
      <c r="B300" s="34" t="str">
        <f>IFERROR(__xludf.DUMMYFUNCTION("REGEXREPLACE($H300, ""(?i)^8301(E000|E100|E200|E300)?"", """")"),"E913006D0FBDA0B6A0B67AEC5C0A2915291548ABB0")</f>
        <v>E913006D0FBDA0B6A0B67AEC5C0A2915291548ABB0</v>
      </c>
      <c r="C300" s="36" t="s">
        <v>18</v>
      </c>
      <c r="D300" s="36" t="s">
        <v>518</v>
      </c>
      <c r="E300" s="36" t="s">
        <v>106</v>
      </c>
      <c r="F300" s="36" t="s">
        <v>175</v>
      </c>
      <c r="G300" s="37">
        <v>46220.0</v>
      </c>
      <c r="H300" s="38" t="s">
        <v>422</v>
      </c>
      <c r="I300" s="36"/>
      <c r="J300" s="39" t="str">
        <f t="shared" si="3"/>
        <v>0x13</v>
      </c>
      <c r="K300" s="40" t="str">
        <f t="shared" si="4"/>
        <v>0x00</v>
      </c>
      <c r="L300" s="40" t="str">
        <f t="shared" si="5"/>
        <v>0x6D</v>
      </c>
      <c r="M300" s="42">
        <v>4.0</v>
      </c>
      <c r="N300" s="42" t="str">
        <f t="shared" si="284"/>
        <v>0x0F</v>
      </c>
      <c r="O300" s="48" t="str">
        <f t="shared" si="285"/>
        <v>0xBD</v>
      </c>
      <c r="P300" s="48" t="str">
        <f t="shared" si="286"/>
        <v>0xA0</v>
      </c>
      <c r="Q300" s="48" t="str">
        <f>"0x"&amp;MID($B300,15,2)</f>
        <v>0xB6</v>
      </c>
      <c r="R300" s="42"/>
      <c r="S300" s="48" t="str">
        <f>"0x"&amp;MID($B300,17,2)</f>
        <v>0xA0</v>
      </c>
      <c r="T300" s="48" t="str">
        <f>"0x"&amp;MID($B300,19,2)</f>
        <v>0xB6</v>
      </c>
      <c r="U300" s="48"/>
      <c r="V300" s="40">
        <v>21.0</v>
      </c>
      <c r="W300" s="40" t="str">
        <f t="shared" si="72"/>
        <v>0x7A</v>
      </c>
      <c r="X300" s="40" t="str">
        <f t="shared" ref="X300:AF300" si="291">"0x" &amp; MID($B300,$V300  + 2*(COLUMN() - COLUMN($W300)), 2)</f>
        <v>0xEC</v>
      </c>
      <c r="Y300" s="40" t="str">
        <f t="shared" si="291"/>
        <v>0x5C</v>
      </c>
      <c r="Z300" s="40" t="str">
        <f t="shared" si="291"/>
        <v>0x0A</v>
      </c>
      <c r="AA300" s="40" t="str">
        <f t="shared" si="291"/>
        <v>0x29</v>
      </c>
      <c r="AB300" s="40" t="str">
        <f t="shared" si="291"/>
        <v>0x15</v>
      </c>
      <c r="AC300" s="40" t="str">
        <f t="shared" si="291"/>
        <v>0x29</v>
      </c>
      <c r="AD300" s="40" t="str">
        <f t="shared" si="291"/>
        <v>0x15</v>
      </c>
      <c r="AE300" s="40" t="str">
        <f t="shared" si="291"/>
        <v>0x48</v>
      </c>
      <c r="AF300" s="40" t="str">
        <f t="shared" si="291"/>
        <v>0xAB</v>
      </c>
      <c r="AG300" s="40"/>
      <c r="AH300" s="40"/>
      <c r="AI300" s="40"/>
      <c r="AJ300" s="40"/>
      <c r="AK300" s="40"/>
      <c r="AL300" s="40"/>
      <c r="AM300" s="40"/>
      <c r="AN300" s="64" t="str">
        <f>"0x"&amp;MID($B300,41,2)</f>
        <v>0xB0</v>
      </c>
    </row>
    <row r="301" hidden="1">
      <c r="A301" s="51" t="str">
        <f t="shared" si="2"/>
        <v>E913</v>
      </c>
      <c r="B301" s="52" t="str">
        <f>IFERROR(__xludf.DUMMYFUNCTION("REGEXREPLACE($H301, ""(?i)^8301(E000|E100|E200|E300)?"", """")"),"E91300770F5C5D58F44882D0650AD14602C8307B00")</f>
        <v>E91300770F5C5D58F44882D0650AD14602C8307B00</v>
      </c>
      <c r="C301" s="65" t="s">
        <v>14</v>
      </c>
      <c r="D301" s="65" t="s">
        <v>342</v>
      </c>
      <c r="E301" s="65" t="s">
        <v>106</v>
      </c>
      <c r="F301" s="65" t="s">
        <v>107</v>
      </c>
      <c r="G301" s="67">
        <v>46220.0</v>
      </c>
      <c r="H301" s="68" t="s">
        <v>423</v>
      </c>
      <c r="I301" s="65"/>
      <c r="J301" s="57" t="str">
        <f t="shared" si="3"/>
        <v>0x13</v>
      </c>
      <c r="K301" s="58" t="str">
        <f t="shared" si="4"/>
        <v>0x00</v>
      </c>
      <c r="L301" s="58" t="str">
        <f t="shared" si="5"/>
        <v>0x77</v>
      </c>
      <c r="M301" s="82">
        <v>2.0</v>
      </c>
      <c r="N301" s="83" t="str">
        <f t="shared" si="284"/>
        <v>0x0F</v>
      </c>
      <c r="O301" s="84" t="str">
        <f t="shared" si="285"/>
        <v>0x5C</v>
      </c>
      <c r="P301" s="84" t="str">
        <f t="shared" si="286"/>
        <v>0x5D</v>
      </c>
      <c r="Q301" s="85"/>
      <c r="R301" s="86"/>
      <c r="S301" s="85"/>
      <c r="T301" s="85"/>
      <c r="U301" s="85"/>
      <c r="V301" s="87">
        <v>15.0</v>
      </c>
      <c r="W301" s="58" t="str">
        <f t="shared" si="72"/>
        <v>0x58</v>
      </c>
      <c r="X301" s="58" t="str">
        <f t="shared" ref="X301:AJ301" si="292">"0x" &amp; MID($B301,$V301  + 2*(COLUMN() - COLUMN($W301)), 2)</f>
        <v>0xF4</v>
      </c>
      <c r="Y301" s="58" t="str">
        <f t="shared" si="292"/>
        <v>0x48</v>
      </c>
      <c r="Z301" s="58" t="str">
        <f t="shared" si="292"/>
        <v>0x82</v>
      </c>
      <c r="AA301" s="58" t="str">
        <f t="shared" si="292"/>
        <v>0xD0</v>
      </c>
      <c r="AB301" s="58" t="str">
        <f t="shared" si="292"/>
        <v>0x65</v>
      </c>
      <c r="AC301" s="58" t="str">
        <f t="shared" si="292"/>
        <v>0x0A</v>
      </c>
      <c r="AD301" s="58" t="str">
        <f t="shared" si="292"/>
        <v>0xD1</v>
      </c>
      <c r="AE301" s="58" t="str">
        <f t="shared" si="292"/>
        <v>0x46</v>
      </c>
      <c r="AF301" s="58" t="str">
        <f t="shared" si="292"/>
        <v>0x02</v>
      </c>
      <c r="AG301" s="58" t="str">
        <f t="shared" si="292"/>
        <v>0xC8</v>
      </c>
      <c r="AH301" s="58" t="str">
        <f t="shared" si="292"/>
        <v>0x30</v>
      </c>
      <c r="AI301" s="58" t="str">
        <f t="shared" si="292"/>
        <v>0x7B</v>
      </c>
      <c r="AJ301" s="58" t="str">
        <f t="shared" si="292"/>
        <v>0x00</v>
      </c>
      <c r="AK301" s="58"/>
      <c r="AL301" s="58"/>
      <c r="AM301" s="58"/>
      <c r="AN301" s="88"/>
    </row>
    <row r="302" hidden="1">
      <c r="A302" s="33" t="str">
        <f t="shared" si="2"/>
        <v>E913</v>
      </c>
      <c r="B302" s="34" t="str">
        <f>IFERROR(__xludf.DUMMYFUNCTION("REGEXREPLACE($H302, ""(?i)^8301(E000|E100|E200|E300)?"", """")"),"E91300770F5D4458F44882D0650AD14602C8307B00")</f>
        <v>E91300770F5D4458F44882D0650AD14602C8307B00</v>
      </c>
      <c r="C302" s="36" t="s">
        <v>14</v>
      </c>
      <c r="D302" s="36" t="s">
        <v>342</v>
      </c>
      <c r="E302" s="36" t="s">
        <v>106</v>
      </c>
      <c r="F302" s="36" t="s">
        <v>107</v>
      </c>
      <c r="G302" s="37">
        <v>46220.0</v>
      </c>
      <c r="H302" s="38" t="s">
        <v>424</v>
      </c>
      <c r="I302" s="36"/>
      <c r="J302" s="39" t="str">
        <f t="shared" si="3"/>
        <v>0x13</v>
      </c>
      <c r="K302" s="40" t="str">
        <f t="shared" si="4"/>
        <v>0x00</v>
      </c>
      <c r="L302" s="40" t="str">
        <f t="shared" si="5"/>
        <v>0x77</v>
      </c>
      <c r="M302" s="77">
        <v>2.0</v>
      </c>
      <c r="N302" s="78" t="str">
        <f t="shared" si="284"/>
        <v>0x0F</v>
      </c>
      <c r="O302" s="72" t="str">
        <f t="shared" si="285"/>
        <v>0x5D</v>
      </c>
      <c r="P302" s="72" t="str">
        <f t="shared" si="286"/>
        <v>0x44</v>
      </c>
      <c r="Q302" s="79"/>
      <c r="R302" s="80"/>
      <c r="S302" s="79"/>
      <c r="T302" s="79"/>
      <c r="U302" s="79"/>
      <c r="V302" s="81">
        <v>15.0</v>
      </c>
      <c r="W302" s="40" t="str">
        <f t="shared" si="72"/>
        <v>0x58</v>
      </c>
      <c r="X302" s="40" t="str">
        <f t="shared" ref="X302:AJ302" si="293">"0x" &amp; MID($B302,$V302  + 2*(COLUMN() - COLUMN($W302)), 2)</f>
        <v>0xF4</v>
      </c>
      <c r="Y302" s="40" t="str">
        <f t="shared" si="293"/>
        <v>0x48</v>
      </c>
      <c r="Z302" s="40" t="str">
        <f t="shared" si="293"/>
        <v>0x82</v>
      </c>
      <c r="AA302" s="40" t="str">
        <f t="shared" si="293"/>
        <v>0xD0</v>
      </c>
      <c r="AB302" s="40" t="str">
        <f t="shared" si="293"/>
        <v>0x65</v>
      </c>
      <c r="AC302" s="40" t="str">
        <f t="shared" si="293"/>
        <v>0x0A</v>
      </c>
      <c r="AD302" s="40" t="str">
        <f t="shared" si="293"/>
        <v>0xD1</v>
      </c>
      <c r="AE302" s="40" t="str">
        <f t="shared" si="293"/>
        <v>0x46</v>
      </c>
      <c r="AF302" s="40" t="str">
        <f t="shared" si="293"/>
        <v>0x02</v>
      </c>
      <c r="AG302" s="40" t="str">
        <f t="shared" si="293"/>
        <v>0xC8</v>
      </c>
      <c r="AH302" s="40" t="str">
        <f t="shared" si="293"/>
        <v>0x30</v>
      </c>
      <c r="AI302" s="40" t="str">
        <f t="shared" si="293"/>
        <v>0x7B</v>
      </c>
      <c r="AJ302" s="40" t="str">
        <f t="shared" si="293"/>
        <v>0x00</v>
      </c>
      <c r="AK302" s="40"/>
      <c r="AL302" s="40"/>
      <c r="AM302" s="40"/>
      <c r="AN302" s="75"/>
    </row>
    <row r="303" hidden="1">
      <c r="A303" s="51" t="str">
        <f t="shared" si="2"/>
        <v>E913</v>
      </c>
      <c r="B303" s="52" t="str">
        <f>IFERROR(__xludf.DUMMYFUNCTION("REGEXREPLACE($H303, ""(?i)^8301(E000|E100|E200|E300)?"", """")"),"E91300B60F404458F44882D06519D146060A307BFF")</f>
        <v>E91300B60F404458F44882D06519D146060A307BFF</v>
      </c>
      <c r="C303" s="65" t="s">
        <v>60</v>
      </c>
      <c r="D303" s="65" t="s">
        <v>515</v>
      </c>
      <c r="E303" s="65" t="s">
        <v>129</v>
      </c>
      <c r="F303" s="65" t="s">
        <v>130</v>
      </c>
      <c r="G303" s="67">
        <v>46251.0</v>
      </c>
      <c r="H303" s="56" t="s">
        <v>471</v>
      </c>
      <c r="I303" s="53"/>
      <c r="J303" s="57" t="str">
        <f t="shared" si="3"/>
        <v>0x13</v>
      </c>
      <c r="K303" s="58" t="str">
        <f t="shared" si="4"/>
        <v>0x00</v>
      </c>
      <c r="L303" s="58" t="str">
        <f t="shared" si="5"/>
        <v>0xB6</v>
      </c>
      <c r="M303" s="82">
        <v>2.0</v>
      </c>
      <c r="N303" s="83" t="str">
        <f t="shared" si="284"/>
        <v>0x0F</v>
      </c>
      <c r="O303" s="84" t="str">
        <f t="shared" si="285"/>
        <v>0x40</v>
      </c>
      <c r="P303" s="84" t="str">
        <f t="shared" si="286"/>
        <v>0x44</v>
      </c>
      <c r="Q303" s="85"/>
      <c r="R303" s="86"/>
      <c r="S303" s="85"/>
      <c r="T303" s="85"/>
      <c r="U303" s="85"/>
      <c r="V303" s="87">
        <v>15.0</v>
      </c>
      <c r="W303" s="58" t="str">
        <f t="shared" si="72"/>
        <v>0x58</v>
      </c>
      <c r="X303" s="58" t="str">
        <f t="shared" ref="X303:AJ303" si="294">"0x" &amp; MID($B303,$V303  + 2*(COLUMN() - COLUMN($W303)), 2)</f>
        <v>0xF4</v>
      </c>
      <c r="Y303" s="58" t="str">
        <f t="shared" si="294"/>
        <v>0x48</v>
      </c>
      <c r="Z303" s="58" t="str">
        <f t="shared" si="294"/>
        <v>0x82</v>
      </c>
      <c r="AA303" s="58" t="str">
        <f t="shared" si="294"/>
        <v>0xD0</v>
      </c>
      <c r="AB303" s="58" t="str">
        <f t="shared" si="294"/>
        <v>0x65</v>
      </c>
      <c r="AC303" s="58" t="str">
        <f t="shared" si="294"/>
        <v>0x19</v>
      </c>
      <c r="AD303" s="58" t="str">
        <f t="shared" si="294"/>
        <v>0xD1</v>
      </c>
      <c r="AE303" s="58" t="str">
        <f t="shared" si="294"/>
        <v>0x46</v>
      </c>
      <c r="AF303" s="58" t="str">
        <f t="shared" si="294"/>
        <v>0x06</v>
      </c>
      <c r="AG303" s="58" t="str">
        <f t="shared" si="294"/>
        <v>0x0A</v>
      </c>
      <c r="AH303" s="58" t="str">
        <f t="shared" si="294"/>
        <v>0x30</v>
      </c>
      <c r="AI303" s="58" t="str">
        <f t="shared" si="294"/>
        <v>0x7B</v>
      </c>
      <c r="AJ303" s="58" t="str">
        <f t="shared" si="294"/>
        <v>0xFF</v>
      </c>
      <c r="AK303" s="58"/>
      <c r="AL303" s="58"/>
      <c r="AM303" s="58"/>
      <c r="AN303" s="88"/>
    </row>
    <row r="304" hidden="1">
      <c r="A304" s="33" t="str">
        <f t="shared" si="2"/>
        <v>E914</v>
      </c>
      <c r="B304" s="34" t="str">
        <f>IFERROR(__xludf.DUMMYFUNCTION("REGEXREPLACE($H304, ""(?i)^8301(E000|E100|E200|E300)?"", """")"),"E91400030F5D5458F44882D0650AD1460228307B00B0")</f>
        <v>E91400030F5D5458F44882D0650AD1460228307B00B0</v>
      </c>
      <c r="C304" s="36" t="s">
        <v>25</v>
      </c>
      <c r="D304" s="36" t="s">
        <v>497</v>
      </c>
      <c r="E304" s="36" t="s">
        <v>75</v>
      </c>
      <c r="F304" s="36" t="s">
        <v>120</v>
      </c>
      <c r="G304" s="37">
        <v>46228.0</v>
      </c>
      <c r="H304" s="38" t="s">
        <v>426</v>
      </c>
      <c r="I304" s="36"/>
      <c r="J304" s="39" t="str">
        <f t="shared" si="3"/>
        <v>0x14</v>
      </c>
      <c r="K304" s="40" t="str">
        <f t="shared" si="4"/>
        <v>0x00</v>
      </c>
      <c r="L304" s="40" t="str">
        <f t="shared" si="5"/>
        <v>0x03</v>
      </c>
      <c r="M304" s="77">
        <v>2.0</v>
      </c>
      <c r="N304" s="78" t="str">
        <f t="shared" si="284"/>
        <v>0x0F</v>
      </c>
      <c r="O304" s="72" t="str">
        <f t="shared" si="285"/>
        <v>0x5D</v>
      </c>
      <c r="P304" s="72" t="str">
        <f t="shared" si="286"/>
        <v>0x54</v>
      </c>
      <c r="Q304" s="79"/>
      <c r="R304" s="80"/>
      <c r="S304" s="79"/>
      <c r="T304" s="79"/>
      <c r="U304" s="79"/>
      <c r="V304" s="81">
        <v>15.0</v>
      </c>
      <c r="W304" s="40" t="str">
        <f t="shared" si="72"/>
        <v>0x58</v>
      </c>
      <c r="X304" s="40" t="str">
        <f t="shared" ref="X304:AJ304" si="295">"0x" &amp; MID($B304,$V304  + 2*(COLUMN() - COLUMN($W304)), 2)</f>
        <v>0xF4</v>
      </c>
      <c r="Y304" s="40" t="str">
        <f t="shared" si="295"/>
        <v>0x48</v>
      </c>
      <c r="Z304" s="40" t="str">
        <f t="shared" si="295"/>
        <v>0x82</v>
      </c>
      <c r="AA304" s="40" t="str">
        <f t="shared" si="295"/>
        <v>0xD0</v>
      </c>
      <c r="AB304" s="40" t="str">
        <f t="shared" si="295"/>
        <v>0x65</v>
      </c>
      <c r="AC304" s="40" t="str">
        <f t="shared" si="295"/>
        <v>0x0A</v>
      </c>
      <c r="AD304" s="40" t="str">
        <f t="shared" si="295"/>
        <v>0xD1</v>
      </c>
      <c r="AE304" s="40" t="str">
        <f t="shared" si="295"/>
        <v>0x46</v>
      </c>
      <c r="AF304" s="40" t="str">
        <f t="shared" si="295"/>
        <v>0x02</v>
      </c>
      <c r="AG304" s="40" t="str">
        <f t="shared" si="295"/>
        <v>0x28</v>
      </c>
      <c r="AH304" s="40" t="str">
        <f t="shared" si="295"/>
        <v>0x30</v>
      </c>
      <c r="AI304" s="40" t="str">
        <f t="shared" si="295"/>
        <v>0x7B</v>
      </c>
      <c r="AJ304" s="40" t="str">
        <f t="shared" si="295"/>
        <v>0x00</v>
      </c>
      <c r="AK304" s="40"/>
      <c r="AL304" s="40"/>
      <c r="AM304" s="40"/>
      <c r="AN304" s="64" t="str">
        <f t="shared" ref="AN304:AN316" si="297">"0x"&amp;MID($B304,43,2)</f>
        <v>0xB0</v>
      </c>
    </row>
    <row r="305" hidden="1">
      <c r="A305" s="51" t="str">
        <f t="shared" si="2"/>
        <v>E914</v>
      </c>
      <c r="B305" s="52" t="str">
        <f>IFERROR(__xludf.DUMMYFUNCTION("REGEXREPLACE($H305, ""(?i)^8301(E000|E100|E200|E300)?"", """")"),"E91400060F4D5D58F44882D0651CD14602ED307BFFB0")</f>
        <v>E91400060F4D5D58F44882D0651CD14602ED307BFFB0</v>
      </c>
      <c r="C305" s="65" t="s">
        <v>25</v>
      </c>
      <c r="D305" s="65" t="s">
        <v>497</v>
      </c>
      <c r="E305" s="65" t="s">
        <v>75</v>
      </c>
      <c r="F305" s="65" t="s">
        <v>120</v>
      </c>
      <c r="G305" s="67">
        <v>46228.0</v>
      </c>
      <c r="H305" s="68" t="s">
        <v>427</v>
      </c>
      <c r="I305" s="65"/>
      <c r="J305" s="57" t="str">
        <f t="shared" si="3"/>
        <v>0x14</v>
      </c>
      <c r="K305" s="58" t="str">
        <f t="shared" si="4"/>
        <v>0x00</v>
      </c>
      <c r="L305" s="58" t="str">
        <f t="shared" si="5"/>
        <v>0x06</v>
      </c>
      <c r="M305" s="82">
        <v>2.0</v>
      </c>
      <c r="N305" s="83" t="str">
        <f t="shared" si="284"/>
        <v>0x0F</v>
      </c>
      <c r="O305" s="84" t="str">
        <f t="shared" si="285"/>
        <v>0x4D</v>
      </c>
      <c r="P305" s="84" t="str">
        <f t="shared" si="286"/>
        <v>0x5D</v>
      </c>
      <c r="Q305" s="85"/>
      <c r="R305" s="86"/>
      <c r="S305" s="85"/>
      <c r="T305" s="85"/>
      <c r="U305" s="85"/>
      <c r="V305" s="87">
        <v>15.0</v>
      </c>
      <c r="W305" s="58" t="str">
        <f t="shared" si="72"/>
        <v>0x58</v>
      </c>
      <c r="X305" s="58" t="str">
        <f t="shared" ref="X305:AJ305" si="296">"0x" &amp; MID($B305,$V305  + 2*(COLUMN() - COLUMN($W305)), 2)</f>
        <v>0xF4</v>
      </c>
      <c r="Y305" s="58" t="str">
        <f t="shared" si="296"/>
        <v>0x48</v>
      </c>
      <c r="Z305" s="58" t="str">
        <f t="shared" si="296"/>
        <v>0x82</v>
      </c>
      <c r="AA305" s="58" t="str">
        <f t="shared" si="296"/>
        <v>0xD0</v>
      </c>
      <c r="AB305" s="58" t="str">
        <f t="shared" si="296"/>
        <v>0x65</v>
      </c>
      <c r="AC305" s="58" t="str">
        <f t="shared" si="296"/>
        <v>0x1C</v>
      </c>
      <c r="AD305" s="58" t="str">
        <f t="shared" si="296"/>
        <v>0xD1</v>
      </c>
      <c r="AE305" s="58" t="str">
        <f t="shared" si="296"/>
        <v>0x46</v>
      </c>
      <c r="AF305" s="58" t="str">
        <f t="shared" si="296"/>
        <v>0x02</v>
      </c>
      <c r="AG305" s="58" t="str">
        <f t="shared" si="296"/>
        <v>0xED</v>
      </c>
      <c r="AH305" s="58" t="str">
        <f t="shared" si="296"/>
        <v>0x30</v>
      </c>
      <c r="AI305" s="58" t="str">
        <f t="shared" si="296"/>
        <v>0x7B</v>
      </c>
      <c r="AJ305" s="58" t="str">
        <f t="shared" si="296"/>
        <v>0xFF</v>
      </c>
      <c r="AK305" s="58"/>
      <c r="AL305" s="58"/>
      <c r="AM305" s="58"/>
      <c r="AN305" s="74" t="str">
        <f t="shared" si="297"/>
        <v>0xB0</v>
      </c>
    </row>
    <row r="306" hidden="1">
      <c r="A306" s="33" t="str">
        <f t="shared" si="2"/>
        <v>E914</v>
      </c>
      <c r="B306" s="34" t="str">
        <f>IFERROR(__xludf.DUMMYFUNCTION("REGEXREPLACE($H306, ""(?i)^8301(E000|E100|E200|E300)?"", """")"),"E91400070F564258F44882D06500D146040A307B26B0")</f>
        <v>E91400070F564258F44882D06500D146040A307B26B0</v>
      </c>
      <c r="C306" s="36" t="s">
        <v>25</v>
      </c>
      <c r="D306" s="36" t="s">
        <v>497</v>
      </c>
      <c r="E306" s="36" t="s">
        <v>106</v>
      </c>
      <c r="F306" s="36" t="s">
        <v>175</v>
      </c>
      <c r="G306" s="37">
        <v>46220.0</v>
      </c>
      <c r="H306" s="38" t="s">
        <v>428</v>
      </c>
      <c r="I306" s="36"/>
      <c r="J306" s="39" t="str">
        <f t="shared" si="3"/>
        <v>0x14</v>
      </c>
      <c r="K306" s="40" t="str">
        <f t="shared" si="4"/>
        <v>0x00</v>
      </c>
      <c r="L306" s="40" t="str">
        <f t="shared" si="5"/>
        <v>0x07</v>
      </c>
      <c r="M306" s="77">
        <v>2.0</v>
      </c>
      <c r="N306" s="78" t="str">
        <f t="shared" si="284"/>
        <v>0x0F</v>
      </c>
      <c r="O306" s="72" t="str">
        <f t="shared" si="285"/>
        <v>0x56</v>
      </c>
      <c r="P306" s="72" t="str">
        <f t="shared" si="286"/>
        <v>0x42</v>
      </c>
      <c r="Q306" s="79"/>
      <c r="R306" s="80"/>
      <c r="S306" s="79"/>
      <c r="T306" s="79"/>
      <c r="U306" s="79"/>
      <c r="V306" s="81">
        <v>15.0</v>
      </c>
      <c r="W306" s="40" t="str">
        <f t="shared" si="72"/>
        <v>0x58</v>
      </c>
      <c r="X306" s="40" t="str">
        <f t="shared" ref="X306:AJ306" si="298">"0x" &amp; MID($B306,$V306  + 2*(COLUMN() - COLUMN($W306)), 2)</f>
        <v>0xF4</v>
      </c>
      <c r="Y306" s="40" t="str">
        <f t="shared" si="298"/>
        <v>0x48</v>
      </c>
      <c r="Z306" s="40" t="str">
        <f t="shared" si="298"/>
        <v>0x82</v>
      </c>
      <c r="AA306" s="40" t="str">
        <f t="shared" si="298"/>
        <v>0xD0</v>
      </c>
      <c r="AB306" s="40" t="str">
        <f t="shared" si="298"/>
        <v>0x65</v>
      </c>
      <c r="AC306" s="40" t="str">
        <f t="shared" si="298"/>
        <v>0x00</v>
      </c>
      <c r="AD306" s="40" t="str">
        <f t="shared" si="298"/>
        <v>0xD1</v>
      </c>
      <c r="AE306" s="40" t="str">
        <f t="shared" si="298"/>
        <v>0x46</v>
      </c>
      <c r="AF306" s="40" t="str">
        <f t="shared" si="298"/>
        <v>0x04</v>
      </c>
      <c r="AG306" s="40" t="str">
        <f t="shared" si="298"/>
        <v>0x0A</v>
      </c>
      <c r="AH306" s="40" t="str">
        <f t="shared" si="298"/>
        <v>0x30</v>
      </c>
      <c r="AI306" s="40" t="str">
        <f t="shared" si="298"/>
        <v>0x7B</v>
      </c>
      <c r="AJ306" s="40" t="str">
        <f t="shared" si="298"/>
        <v>0x26</v>
      </c>
      <c r="AK306" s="40"/>
      <c r="AL306" s="40"/>
      <c r="AM306" s="40"/>
      <c r="AN306" s="64" t="str">
        <f t="shared" si="297"/>
        <v>0xB0</v>
      </c>
    </row>
    <row r="307">
      <c r="A307" s="51" t="str">
        <f t="shared" si="2"/>
        <v>E914</v>
      </c>
      <c r="B307" s="52" t="str">
        <f>IFERROR(__xludf.DUMMYFUNCTION("REGEXREPLACE($H307, ""(?i)^8301(E000|E100|E200|E300)?"", """")"),"E91400110F545158F44882D06511D1462A02307B33BA")</f>
        <v>E91400110F545158F44882D06511D1462A02307B33BA</v>
      </c>
      <c r="C307" s="65" t="s">
        <v>25</v>
      </c>
      <c r="D307" s="65"/>
      <c r="E307" s="65" t="s">
        <v>217</v>
      </c>
      <c r="F307" s="65" t="s">
        <v>218</v>
      </c>
      <c r="G307" s="67">
        <v>46244.0</v>
      </c>
      <c r="H307" s="68" t="s">
        <v>450</v>
      </c>
      <c r="I307" s="65"/>
      <c r="J307" s="57" t="str">
        <f t="shared" si="3"/>
        <v>0x14</v>
      </c>
      <c r="K307" s="58" t="str">
        <f t="shared" si="4"/>
        <v>0x00</v>
      </c>
      <c r="L307" s="58" t="str">
        <f t="shared" si="5"/>
        <v>0x11</v>
      </c>
      <c r="M307" s="82">
        <v>2.0</v>
      </c>
      <c r="N307" s="83" t="str">
        <f t="shared" si="284"/>
        <v>0x0F</v>
      </c>
      <c r="O307" s="84" t="str">
        <f t="shared" si="285"/>
        <v>0x54</v>
      </c>
      <c r="P307" s="84" t="str">
        <f t="shared" si="286"/>
        <v>0x51</v>
      </c>
      <c r="Q307" s="85"/>
      <c r="R307" s="86"/>
      <c r="S307" s="85"/>
      <c r="T307" s="85"/>
      <c r="U307" s="85"/>
      <c r="V307" s="87">
        <v>15.0</v>
      </c>
      <c r="W307" s="58" t="str">
        <f t="shared" si="72"/>
        <v>0x58</v>
      </c>
      <c r="X307" s="58" t="str">
        <f t="shared" ref="X307:AJ307" si="299">"0x" &amp; MID($B307,$V307  + 2*(COLUMN() - COLUMN($W307)), 2)</f>
        <v>0xF4</v>
      </c>
      <c r="Y307" s="58" t="str">
        <f t="shared" si="299"/>
        <v>0x48</v>
      </c>
      <c r="Z307" s="58" t="str">
        <f t="shared" si="299"/>
        <v>0x82</v>
      </c>
      <c r="AA307" s="58" t="str">
        <f t="shared" si="299"/>
        <v>0xD0</v>
      </c>
      <c r="AB307" s="58" t="str">
        <f t="shared" si="299"/>
        <v>0x65</v>
      </c>
      <c r="AC307" s="58" t="str">
        <f t="shared" si="299"/>
        <v>0x11</v>
      </c>
      <c r="AD307" s="58" t="str">
        <f t="shared" si="299"/>
        <v>0xD1</v>
      </c>
      <c r="AE307" s="58" t="str">
        <f t="shared" si="299"/>
        <v>0x46</v>
      </c>
      <c r="AF307" s="58" t="str">
        <f t="shared" si="299"/>
        <v>0x2A</v>
      </c>
      <c r="AG307" s="58" t="str">
        <f t="shared" si="299"/>
        <v>0x02</v>
      </c>
      <c r="AH307" s="58" t="str">
        <f t="shared" si="299"/>
        <v>0x30</v>
      </c>
      <c r="AI307" s="58" t="str">
        <f t="shared" si="299"/>
        <v>0x7B</v>
      </c>
      <c r="AJ307" s="58" t="str">
        <f t="shared" si="299"/>
        <v>0x33</v>
      </c>
      <c r="AK307" s="58"/>
      <c r="AL307" s="58"/>
      <c r="AM307" s="58"/>
      <c r="AN307" s="74" t="str">
        <f t="shared" si="297"/>
        <v>0xBA</v>
      </c>
    </row>
    <row r="308" hidden="1">
      <c r="A308" s="33" t="str">
        <f t="shared" si="2"/>
        <v>E914</v>
      </c>
      <c r="B308" s="34" t="str">
        <f>IFERROR(__xludf.DUMMYFUNCTION("REGEXREPLACE($H308, ""(?i)^8301(E000|E100|E200|E300)?"", """")"),"E91400450F564258F44882D06500D146040A307B26B0")</f>
        <v>E91400450F564258F44882D06500D146040A307B26B0</v>
      </c>
      <c r="C308" s="36" t="s">
        <v>25</v>
      </c>
      <c r="D308" s="36" t="s">
        <v>497</v>
      </c>
      <c r="E308" s="36" t="s">
        <v>106</v>
      </c>
      <c r="F308" s="36" t="s">
        <v>175</v>
      </c>
      <c r="G308" s="37">
        <v>46220.0</v>
      </c>
      <c r="H308" s="38" t="s">
        <v>429</v>
      </c>
      <c r="I308" s="36"/>
      <c r="J308" s="39" t="str">
        <f t="shared" si="3"/>
        <v>0x14</v>
      </c>
      <c r="K308" s="40" t="str">
        <f t="shared" si="4"/>
        <v>0x00</v>
      </c>
      <c r="L308" s="40" t="str">
        <f t="shared" si="5"/>
        <v>0x45</v>
      </c>
      <c r="M308" s="77">
        <v>2.0</v>
      </c>
      <c r="N308" s="78" t="str">
        <f t="shared" si="284"/>
        <v>0x0F</v>
      </c>
      <c r="O308" s="72" t="str">
        <f t="shared" si="285"/>
        <v>0x56</v>
      </c>
      <c r="P308" s="72" t="str">
        <f t="shared" si="286"/>
        <v>0x42</v>
      </c>
      <c r="Q308" s="79"/>
      <c r="R308" s="80"/>
      <c r="S308" s="79"/>
      <c r="T308" s="79"/>
      <c r="U308" s="79"/>
      <c r="V308" s="81">
        <v>15.0</v>
      </c>
      <c r="W308" s="40" t="str">
        <f t="shared" si="72"/>
        <v>0x58</v>
      </c>
      <c r="X308" s="40" t="str">
        <f t="shared" ref="X308:AJ308" si="300">"0x" &amp; MID($B308,$V308  + 2*(COLUMN() - COLUMN($W308)), 2)</f>
        <v>0xF4</v>
      </c>
      <c r="Y308" s="40" t="str">
        <f t="shared" si="300"/>
        <v>0x48</v>
      </c>
      <c r="Z308" s="40" t="str">
        <f t="shared" si="300"/>
        <v>0x82</v>
      </c>
      <c r="AA308" s="40" t="str">
        <f t="shared" si="300"/>
        <v>0xD0</v>
      </c>
      <c r="AB308" s="40" t="str">
        <f t="shared" si="300"/>
        <v>0x65</v>
      </c>
      <c r="AC308" s="40" t="str">
        <f t="shared" si="300"/>
        <v>0x00</v>
      </c>
      <c r="AD308" s="40" t="str">
        <f t="shared" si="300"/>
        <v>0xD1</v>
      </c>
      <c r="AE308" s="40" t="str">
        <f t="shared" si="300"/>
        <v>0x46</v>
      </c>
      <c r="AF308" s="40" t="str">
        <f t="shared" si="300"/>
        <v>0x04</v>
      </c>
      <c r="AG308" s="40" t="str">
        <f t="shared" si="300"/>
        <v>0x0A</v>
      </c>
      <c r="AH308" s="40" t="str">
        <f t="shared" si="300"/>
        <v>0x30</v>
      </c>
      <c r="AI308" s="40" t="str">
        <f t="shared" si="300"/>
        <v>0x7B</v>
      </c>
      <c r="AJ308" s="40" t="str">
        <f t="shared" si="300"/>
        <v>0x26</v>
      </c>
      <c r="AK308" s="40"/>
      <c r="AL308" s="40"/>
      <c r="AM308" s="40"/>
      <c r="AN308" s="64" t="str">
        <f t="shared" si="297"/>
        <v>0xB0</v>
      </c>
    </row>
    <row r="309" hidden="1">
      <c r="A309" s="51" t="str">
        <f t="shared" si="2"/>
        <v>E914</v>
      </c>
      <c r="B309" s="52" t="str">
        <f>IFERROR(__xludf.DUMMYFUNCTION("REGEXREPLACE($H309, ""(?i)^8301(E000|E100|E200|E300)?"", """")"),"E91400470F564258F44882D06500D146040A307B26B0")</f>
        <v>E91400470F564258F44882D06500D146040A307B26B0</v>
      </c>
      <c r="C309" s="65" t="s">
        <v>25</v>
      </c>
      <c r="D309" s="65" t="s">
        <v>497</v>
      </c>
      <c r="E309" s="65" t="s">
        <v>106</v>
      </c>
      <c r="F309" s="65" t="s">
        <v>175</v>
      </c>
      <c r="G309" s="67">
        <v>46220.0</v>
      </c>
      <c r="H309" s="68" t="s">
        <v>430</v>
      </c>
      <c r="I309" s="65"/>
      <c r="J309" s="57" t="str">
        <f t="shared" si="3"/>
        <v>0x14</v>
      </c>
      <c r="K309" s="58" t="str">
        <f t="shared" si="4"/>
        <v>0x00</v>
      </c>
      <c r="L309" s="58" t="str">
        <f t="shared" si="5"/>
        <v>0x47</v>
      </c>
      <c r="M309" s="82">
        <v>2.0</v>
      </c>
      <c r="N309" s="83" t="str">
        <f t="shared" si="284"/>
        <v>0x0F</v>
      </c>
      <c r="O309" s="84" t="str">
        <f t="shared" si="285"/>
        <v>0x56</v>
      </c>
      <c r="P309" s="84" t="str">
        <f t="shared" si="286"/>
        <v>0x42</v>
      </c>
      <c r="Q309" s="85"/>
      <c r="R309" s="86"/>
      <c r="S309" s="85"/>
      <c r="T309" s="85"/>
      <c r="U309" s="85"/>
      <c r="V309" s="87">
        <v>15.0</v>
      </c>
      <c r="W309" s="58" t="str">
        <f t="shared" si="72"/>
        <v>0x58</v>
      </c>
      <c r="X309" s="58" t="str">
        <f t="shared" ref="X309:AJ309" si="301">"0x" &amp; MID($B309,$V309  + 2*(COLUMN() - COLUMN($W309)), 2)</f>
        <v>0xF4</v>
      </c>
      <c r="Y309" s="58" t="str">
        <f t="shared" si="301"/>
        <v>0x48</v>
      </c>
      <c r="Z309" s="58" t="str">
        <f t="shared" si="301"/>
        <v>0x82</v>
      </c>
      <c r="AA309" s="58" t="str">
        <f t="shared" si="301"/>
        <v>0xD0</v>
      </c>
      <c r="AB309" s="58" t="str">
        <f t="shared" si="301"/>
        <v>0x65</v>
      </c>
      <c r="AC309" s="58" t="str">
        <f t="shared" si="301"/>
        <v>0x00</v>
      </c>
      <c r="AD309" s="58" t="str">
        <f t="shared" si="301"/>
        <v>0xD1</v>
      </c>
      <c r="AE309" s="58" t="str">
        <f t="shared" si="301"/>
        <v>0x46</v>
      </c>
      <c r="AF309" s="58" t="str">
        <f t="shared" si="301"/>
        <v>0x04</v>
      </c>
      <c r="AG309" s="58" t="str">
        <f t="shared" si="301"/>
        <v>0x0A</v>
      </c>
      <c r="AH309" s="58" t="str">
        <f t="shared" si="301"/>
        <v>0x30</v>
      </c>
      <c r="AI309" s="58" t="str">
        <f t="shared" si="301"/>
        <v>0x7B</v>
      </c>
      <c r="AJ309" s="58" t="str">
        <f t="shared" si="301"/>
        <v>0x26</v>
      </c>
      <c r="AK309" s="58"/>
      <c r="AL309" s="58"/>
      <c r="AM309" s="58"/>
      <c r="AN309" s="74" t="str">
        <f t="shared" si="297"/>
        <v>0xB0</v>
      </c>
    </row>
    <row r="310" hidden="1">
      <c r="A310" s="33" t="str">
        <f t="shared" si="2"/>
        <v>E914</v>
      </c>
      <c r="B310" s="34" t="str">
        <f>IFERROR(__xludf.DUMMYFUNCTION("REGEXREPLACE($H310, ""(?i)^8301(E000|E100|E200|E300)?"", """")"),"E91400490F564258F44882D06500D146040A307B26B0")</f>
        <v>E91400490F564258F44882D06500D146040A307B26B0</v>
      </c>
      <c r="C310" s="36" t="s">
        <v>25</v>
      </c>
      <c r="D310" s="36" t="s">
        <v>497</v>
      </c>
      <c r="E310" s="36" t="s">
        <v>106</v>
      </c>
      <c r="F310" s="36" t="s">
        <v>175</v>
      </c>
      <c r="G310" s="37">
        <v>46220.0</v>
      </c>
      <c r="H310" s="38" t="s">
        <v>431</v>
      </c>
      <c r="I310" s="36"/>
      <c r="J310" s="39" t="str">
        <f t="shared" si="3"/>
        <v>0x14</v>
      </c>
      <c r="K310" s="40" t="str">
        <f t="shared" si="4"/>
        <v>0x00</v>
      </c>
      <c r="L310" s="40" t="str">
        <f t="shared" si="5"/>
        <v>0x49</v>
      </c>
      <c r="M310" s="77">
        <v>2.0</v>
      </c>
      <c r="N310" s="78" t="str">
        <f t="shared" si="284"/>
        <v>0x0F</v>
      </c>
      <c r="O310" s="72" t="str">
        <f t="shared" si="285"/>
        <v>0x56</v>
      </c>
      <c r="P310" s="72" t="str">
        <f t="shared" si="286"/>
        <v>0x42</v>
      </c>
      <c r="Q310" s="79"/>
      <c r="R310" s="80"/>
      <c r="S310" s="79"/>
      <c r="T310" s="79"/>
      <c r="U310" s="79"/>
      <c r="V310" s="81">
        <v>15.0</v>
      </c>
      <c r="W310" s="40" t="str">
        <f t="shared" si="72"/>
        <v>0x58</v>
      </c>
      <c r="X310" s="40" t="str">
        <f t="shared" ref="X310:AJ310" si="302">"0x" &amp; MID($B310,$V310  + 2*(COLUMN() - COLUMN($W310)), 2)</f>
        <v>0xF4</v>
      </c>
      <c r="Y310" s="40" t="str">
        <f t="shared" si="302"/>
        <v>0x48</v>
      </c>
      <c r="Z310" s="40" t="str">
        <f t="shared" si="302"/>
        <v>0x82</v>
      </c>
      <c r="AA310" s="40" t="str">
        <f t="shared" si="302"/>
        <v>0xD0</v>
      </c>
      <c r="AB310" s="40" t="str">
        <f t="shared" si="302"/>
        <v>0x65</v>
      </c>
      <c r="AC310" s="40" t="str">
        <f t="shared" si="302"/>
        <v>0x00</v>
      </c>
      <c r="AD310" s="40" t="str">
        <f t="shared" si="302"/>
        <v>0xD1</v>
      </c>
      <c r="AE310" s="40" t="str">
        <f t="shared" si="302"/>
        <v>0x46</v>
      </c>
      <c r="AF310" s="40" t="str">
        <f t="shared" si="302"/>
        <v>0x04</v>
      </c>
      <c r="AG310" s="40" t="str">
        <f t="shared" si="302"/>
        <v>0x0A</v>
      </c>
      <c r="AH310" s="40" t="str">
        <f t="shared" si="302"/>
        <v>0x30</v>
      </c>
      <c r="AI310" s="40" t="str">
        <f t="shared" si="302"/>
        <v>0x7B</v>
      </c>
      <c r="AJ310" s="40" t="str">
        <f t="shared" si="302"/>
        <v>0x26</v>
      </c>
      <c r="AK310" s="40"/>
      <c r="AL310" s="40"/>
      <c r="AM310" s="40"/>
      <c r="AN310" s="64" t="str">
        <f t="shared" si="297"/>
        <v>0xB0</v>
      </c>
    </row>
    <row r="311" hidden="1">
      <c r="A311" s="51" t="str">
        <f t="shared" si="2"/>
        <v>E914</v>
      </c>
      <c r="B311" s="52" t="str">
        <f>IFERROR(__xludf.DUMMYFUNCTION("REGEXREPLACE($H311, ""(?i)^8301(E000|E100|E200|E300)?"", """")"),"E914004C0F515D58F44882D06500D14657FF307B00B0")</f>
        <v>E914004C0F515D58F44882D06500D14657FF307B00B0</v>
      </c>
      <c r="C311" s="65" t="s">
        <v>14</v>
      </c>
      <c r="D311" s="65" t="s">
        <v>118</v>
      </c>
      <c r="E311" s="65" t="s">
        <v>75</v>
      </c>
      <c r="F311" s="65" t="s">
        <v>120</v>
      </c>
      <c r="G311" s="67">
        <v>46219.0</v>
      </c>
      <c r="H311" s="68" t="s">
        <v>432</v>
      </c>
      <c r="I311" s="65"/>
      <c r="J311" s="57" t="str">
        <f t="shared" si="3"/>
        <v>0x14</v>
      </c>
      <c r="K311" s="58" t="str">
        <f t="shared" si="4"/>
        <v>0x00</v>
      </c>
      <c r="L311" s="58" t="str">
        <f t="shared" si="5"/>
        <v>0x4C</v>
      </c>
      <c r="M311" s="82">
        <v>2.0</v>
      </c>
      <c r="N311" s="83" t="str">
        <f t="shared" si="284"/>
        <v>0x0F</v>
      </c>
      <c r="O311" s="84" t="str">
        <f t="shared" si="285"/>
        <v>0x51</v>
      </c>
      <c r="P311" s="84" t="str">
        <f t="shared" si="286"/>
        <v>0x5D</v>
      </c>
      <c r="Q311" s="85"/>
      <c r="R311" s="86"/>
      <c r="S311" s="85"/>
      <c r="T311" s="85"/>
      <c r="U311" s="85"/>
      <c r="V311" s="87">
        <v>15.0</v>
      </c>
      <c r="W311" s="58" t="str">
        <f t="shared" si="72"/>
        <v>0x58</v>
      </c>
      <c r="X311" s="58" t="str">
        <f t="shared" ref="X311:AJ311" si="303">"0x" &amp; MID($B311,$V311  + 2*(COLUMN() - COLUMN($W311)), 2)</f>
        <v>0xF4</v>
      </c>
      <c r="Y311" s="58" t="str">
        <f t="shared" si="303"/>
        <v>0x48</v>
      </c>
      <c r="Z311" s="58" t="str">
        <f t="shared" si="303"/>
        <v>0x82</v>
      </c>
      <c r="AA311" s="58" t="str">
        <f t="shared" si="303"/>
        <v>0xD0</v>
      </c>
      <c r="AB311" s="58" t="str">
        <f t="shared" si="303"/>
        <v>0x65</v>
      </c>
      <c r="AC311" s="58" t="str">
        <f t="shared" si="303"/>
        <v>0x00</v>
      </c>
      <c r="AD311" s="58" t="str">
        <f t="shared" si="303"/>
        <v>0xD1</v>
      </c>
      <c r="AE311" s="58" t="str">
        <f t="shared" si="303"/>
        <v>0x46</v>
      </c>
      <c r="AF311" s="58" t="str">
        <f t="shared" si="303"/>
        <v>0x57</v>
      </c>
      <c r="AG311" s="58" t="str">
        <f t="shared" si="303"/>
        <v>0xFF</v>
      </c>
      <c r="AH311" s="58" t="str">
        <f t="shared" si="303"/>
        <v>0x30</v>
      </c>
      <c r="AI311" s="58" t="str">
        <f t="shared" si="303"/>
        <v>0x7B</v>
      </c>
      <c r="AJ311" s="58" t="str">
        <f t="shared" si="303"/>
        <v>0x00</v>
      </c>
      <c r="AK311" s="58"/>
      <c r="AL311" s="58"/>
      <c r="AM311" s="58"/>
      <c r="AN311" s="74" t="str">
        <f t="shared" si="297"/>
        <v>0xB0</v>
      </c>
    </row>
    <row r="312" hidden="1">
      <c r="A312" s="33" t="str">
        <f t="shared" si="2"/>
        <v>E914</v>
      </c>
      <c r="B312" s="34" t="str">
        <f>IFERROR(__xludf.DUMMYFUNCTION("REGEXREPLACE($H312, ""(?i)^8301(E000|E100|E200|E300)?"", """")"),"E914004FD037F0D23D0213060EF58983510EE40C80BB")</f>
        <v>E914004FD037F0D23D0213060EF58983510EE40C80BB</v>
      </c>
      <c r="C312" s="36" t="s">
        <v>60</v>
      </c>
      <c r="D312" s="36" t="s">
        <v>525</v>
      </c>
      <c r="E312" s="36" t="s">
        <v>129</v>
      </c>
      <c r="F312" s="36" t="s">
        <v>137</v>
      </c>
      <c r="G312" s="37">
        <v>46207.0</v>
      </c>
      <c r="H312" s="44" t="s">
        <v>433</v>
      </c>
      <c r="I312" s="36" t="s">
        <v>153</v>
      </c>
      <c r="J312" s="39" t="str">
        <f t="shared" si="3"/>
        <v>0x14</v>
      </c>
      <c r="K312" s="40" t="str">
        <f t="shared" si="4"/>
        <v>0x00</v>
      </c>
      <c r="L312" s="40" t="str">
        <f t="shared" si="5"/>
        <v>0x4F</v>
      </c>
      <c r="M312" s="42"/>
      <c r="N312" s="42"/>
      <c r="O312" s="48"/>
      <c r="P312" s="48"/>
      <c r="Q312" s="48"/>
      <c r="R312" s="42"/>
      <c r="S312" s="48"/>
      <c r="T312" s="48"/>
      <c r="U312" s="48"/>
      <c r="V312" s="40">
        <v>9.0</v>
      </c>
      <c r="W312" s="40" t="str">
        <f t="shared" si="72"/>
        <v>0xD0</v>
      </c>
      <c r="X312" s="40" t="str">
        <f t="shared" ref="X312:AM312" si="304">"0x" &amp; MID($B312,$V312  + 2*(COLUMN() - COLUMN($W312)), 2)</f>
        <v>0x37</v>
      </c>
      <c r="Y312" s="40" t="str">
        <f t="shared" si="304"/>
        <v>0xF0</v>
      </c>
      <c r="Z312" s="40" t="str">
        <f t="shared" si="304"/>
        <v>0xD2</v>
      </c>
      <c r="AA312" s="40" t="str">
        <f t="shared" si="304"/>
        <v>0x3D</v>
      </c>
      <c r="AB312" s="40" t="str">
        <f t="shared" si="304"/>
        <v>0x02</v>
      </c>
      <c r="AC312" s="40" t="str">
        <f t="shared" si="304"/>
        <v>0x13</v>
      </c>
      <c r="AD312" s="40" t="str">
        <f t="shared" si="304"/>
        <v>0x06</v>
      </c>
      <c r="AE312" s="40" t="str">
        <f t="shared" si="304"/>
        <v>0x0E</v>
      </c>
      <c r="AF312" s="40" t="str">
        <f t="shared" si="304"/>
        <v>0xF5</v>
      </c>
      <c r="AG312" s="40" t="str">
        <f t="shared" si="304"/>
        <v>0x89</v>
      </c>
      <c r="AH312" s="40" t="str">
        <f t="shared" si="304"/>
        <v>0x83</v>
      </c>
      <c r="AI312" s="40" t="str">
        <f t="shared" si="304"/>
        <v>0x51</v>
      </c>
      <c r="AJ312" s="40" t="str">
        <f t="shared" si="304"/>
        <v>0x0E</v>
      </c>
      <c r="AK312" s="40" t="str">
        <f t="shared" si="304"/>
        <v>0xE4</v>
      </c>
      <c r="AL312" s="40" t="str">
        <f t="shared" si="304"/>
        <v>0x0C</v>
      </c>
      <c r="AM312" s="40" t="str">
        <f t="shared" si="304"/>
        <v>0x80</v>
      </c>
      <c r="AN312" s="64" t="str">
        <f t="shared" si="297"/>
        <v>0xBB</v>
      </c>
    </row>
    <row r="313">
      <c r="A313" s="51" t="str">
        <f t="shared" si="2"/>
        <v>E914</v>
      </c>
      <c r="B313" s="52" t="str">
        <f>IFERROR(__xludf.DUMMYFUNCTION("REGEXREPLACE($H313, ""(?i)^8301(E000|E100|E200|E300)?"", """")"),"E91400550F515D58F44882D0653FD146051E307B00B0")</f>
        <v>E91400550F515D58F44882D0653FD146051E307B00B0</v>
      </c>
      <c r="C313" s="65" t="s">
        <v>25</v>
      </c>
      <c r="D313" s="65" t="s">
        <v>497</v>
      </c>
      <c r="E313" s="65" t="s">
        <v>217</v>
      </c>
      <c r="F313" s="65" t="s">
        <v>218</v>
      </c>
      <c r="G313" s="67">
        <v>46244.0</v>
      </c>
      <c r="H313" s="68" t="s">
        <v>466</v>
      </c>
      <c r="I313" s="65"/>
      <c r="J313" s="57" t="str">
        <f t="shared" si="3"/>
        <v>0x14</v>
      </c>
      <c r="K313" s="58" t="str">
        <f t="shared" si="4"/>
        <v>0x00</v>
      </c>
      <c r="L313" s="58" t="str">
        <f t="shared" si="5"/>
        <v>0x55</v>
      </c>
      <c r="M313" s="82">
        <v>2.0</v>
      </c>
      <c r="N313" s="83" t="str">
        <f t="shared" ref="N313:N314" si="306">"0x"&amp;MID($B313,9,2)</f>
        <v>0x0F</v>
      </c>
      <c r="O313" s="84" t="str">
        <f t="shared" ref="O313:O314" si="307">"0x"&amp;MID($B313,11,2)</f>
        <v>0x51</v>
      </c>
      <c r="P313" s="84" t="str">
        <f t="shared" ref="P313:P314" si="308">"0x"&amp;MID($B313,13,2)</f>
        <v>0x5D</v>
      </c>
      <c r="Q313" s="85"/>
      <c r="R313" s="86"/>
      <c r="S313" s="85"/>
      <c r="T313" s="85"/>
      <c r="U313" s="85"/>
      <c r="V313" s="87">
        <v>15.0</v>
      </c>
      <c r="W313" s="58" t="str">
        <f t="shared" si="72"/>
        <v>0x58</v>
      </c>
      <c r="X313" s="58" t="str">
        <f t="shared" ref="X313:AK313" si="305">"0x" &amp; MID($B313,$V313  + 2*(COLUMN() - COLUMN($W313)), 2)</f>
        <v>0xF4</v>
      </c>
      <c r="Y313" s="58" t="str">
        <f t="shared" si="305"/>
        <v>0x48</v>
      </c>
      <c r="Z313" s="58" t="str">
        <f t="shared" si="305"/>
        <v>0x82</v>
      </c>
      <c r="AA313" s="58" t="str">
        <f t="shared" si="305"/>
        <v>0xD0</v>
      </c>
      <c r="AB313" s="58" t="str">
        <f t="shared" si="305"/>
        <v>0x65</v>
      </c>
      <c r="AC313" s="58" t="str">
        <f t="shared" si="305"/>
        <v>0x3F</v>
      </c>
      <c r="AD313" s="58" t="str">
        <f t="shared" si="305"/>
        <v>0xD1</v>
      </c>
      <c r="AE313" s="58" t="str">
        <f t="shared" si="305"/>
        <v>0x46</v>
      </c>
      <c r="AF313" s="58" t="str">
        <f t="shared" si="305"/>
        <v>0x05</v>
      </c>
      <c r="AG313" s="58" t="str">
        <f t="shared" si="305"/>
        <v>0x1E</v>
      </c>
      <c r="AH313" s="58" t="str">
        <f t="shared" si="305"/>
        <v>0x30</v>
      </c>
      <c r="AI313" s="58" t="str">
        <f t="shared" si="305"/>
        <v>0x7B</v>
      </c>
      <c r="AJ313" s="58" t="str">
        <f t="shared" si="305"/>
        <v>0x00</v>
      </c>
      <c r="AK313" s="58" t="str">
        <f t="shared" si="305"/>
        <v>0xB0</v>
      </c>
      <c r="AL313" s="58"/>
      <c r="AM313" s="58"/>
      <c r="AN313" s="74" t="str">
        <f t="shared" si="297"/>
        <v>0xB0</v>
      </c>
    </row>
    <row r="314" hidden="1">
      <c r="A314" s="33" t="str">
        <f t="shared" si="2"/>
        <v>E914</v>
      </c>
      <c r="B314" s="34" t="str">
        <f>IFERROR(__xludf.DUMMYFUNCTION("REGEXREPLACE($H314, ""(?i)^8301(E000|E100|E200|E300)?"", """")"),"E91400680F404358F44882D0653FD1462AF6307BA1B0")</f>
        <v>E91400680F404358F44882D0653FD1462AF6307BA1B0</v>
      </c>
      <c r="C314" s="36" t="s">
        <v>25</v>
      </c>
      <c r="D314" s="35"/>
      <c r="E314" s="36" t="s">
        <v>75</v>
      </c>
      <c r="F314" s="36" t="s">
        <v>120</v>
      </c>
      <c r="G314" s="37">
        <v>46219.0</v>
      </c>
      <c r="H314" s="38" t="s">
        <v>434</v>
      </c>
      <c r="I314" s="36"/>
      <c r="J314" s="39" t="str">
        <f t="shared" si="3"/>
        <v>0x14</v>
      </c>
      <c r="K314" s="40" t="str">
        <f t="shared" si="4"/>
        <v>0x00</v>
      </c>
      <c r="L314" s="40" t="str">
        <f t="shared" si="5"/>
        <v>0x68</v>
      </c>
      <c r="M314" s="77">
        <v>2.0</v>
      </c>
      <c r="N314" s="78" t="str">
        <f t="shared" si="306"/>
        <v>0x0F</v>
      </c>
      <c r="O314" s="72" t="str">
        <f t="shared" si="307"/>
        <v>0x40</v>
      </c>
      <c r="P314" s="72" t="str">
        <f t="shared" si="308"/>
        <v>0x43</v>
      </c>
      <c r="Q314" s="79"/>
      <c r="R314" s="80"/>
      <c r="S314" s="79"/>
      <c r="T314" s="79"/>
      <c r="U314" s="79"/>
      <c r="V314" s="81">
        <v>15.0</v>
      </c>
      <c r="W314" s="40" t="str">
        <f t="shared" si="72"/>
        <v>0x58</v>
      </c>
      <c r="X314" s="40" t="str">
        <f t="shared" ref="X314:AK314" si="309">"0x" &amp; MID($B314,$V314  + 2*(COLUMN() - COLUMN($W314)), 2)</f>
        <v>0xF4</v>
      </c>
      <c r="Y314" s="40" t="str">
        <f t="shared" si="309"/>
        <v>0x48</v>
      </c>
      <c r="Z314" s="40" t="str">
        <f t="shared" si="309"/>
        <v>0x82</v>
      </c>
      <c r="AA314" s="40" t="str">
        <f t="shared" si="309"/>
        <v>0xD0</v>
      </c>
      <c r="AB314" s="40" t="str">
        <f t="shared" si="309"/>
        <v>0x65</v>
      </c>
      <c r="AC314" s="40" t="str">
        <f t="shared" si="309"/>
        <v>0x3F</v>
      </c>
      <c r="AD314" s="40" t="str">
        <f t="shared" si="309"/>
        <v>0xD1</v>
      </c>
      <c r="AE314" s="40" t="str">
        <f t="shared" si="309"/>
        <v>0x46</v>
      </c>
      <c r="AF314" s="40" t="str">
        <f t="shared" si="309"/>
        <v>0x2A</v>
      </c>
      <c r="AG314" s="40" t="str">
        <f t="shared" si="309"/>
        <v>0xF6</v>
      </c>
      <c r="AH314" s="40" t="str">
        <f t="shared" si="309"/>
        <v>0x30</v>
      </c>
      <c r="AI314" s="40" t="str">
        <f t="shared" si="309"/>
        <v>0x7B</v>
      </c>
      <c r="AJ314" s="40" t="str">
        <f t="shared" si="309"/>
        <v>0xA1</v>
      </c>
      <c r="AK314" s="40" t="str">
        <f t="shared" si="309"/>
        <v>0xB0</v>
      </c>
      <c r="AL314" s="40"/>
      <c r="AM314" s="40"/>
      <c r="AN314" s="64" t="str">
        <f t="shared" si="297"/>
        <v>0xB0</v>
      </c>
    </row>
    <row r="315" hidden="1">
      <c r="A315" s="51" t="str">
        <f t="shared" si="2"/>
        <v>E914</v>
      </c>
      <c r="B315" s="52" t="str">
        <f>IFERROR(__xludf.DUMMYFUNCTION("REGEXREPLACE($H315, ""(?i)^8301(E000|E100|E200|E300)?"", """")"),"E914006AD037F0D23D040F010EED8983510EE70C80B0")</f>
        <v>E914006AD037F0D23D040F010EED8983510EE70C80B0</v>
      </c>
      <c r="C315" s="65" t="s">
        <v>60</v>
      </c>
      <c r="D315" s="65" t="s">
        <v>30</v>
      </c>
      <c r="E315" s="65" t="s">
        <v>129</v>
      </c>
      <c r="F315" s="65" t="s">
        <v>137</v>
      </c>
      <c r="G315" s="67">
        <v>46207.0</v>
      </c>
      <c r="H315" s="56" t="s">
        <v>435</v>
      </c>
      <c r="I315" s="65" t="s">
        <v>153</v>
      </c>
      <c r="J315" s="57" t="str">
        <f t="shared" si="3"/>
        <v>0x14</v>
      </c>
      <c r="K315" s="58" t="str">
        <f t="shared" si="4"/>
        <v>0x00</v>
      </c>
      <c r="L315" s="58" t="str">
        <f t="shared" si="5"/>
        <v>0x6A</v>
      </c>
      <c r="M315" s="82"/>
      <c r="N315" s="83"/>
      <c r="O315" s="84"/>
      <c r="P315" s="84"/>
      <c r="Q315" s="85"/>
      <c r="R315" s="86"/>
      <c r="S315" s="85"/>
      <c r="T315" s="85"/>
      <c r="U315" s="85"/>
      <c r="V315" s="90">
        <v>9.0</v>
      </c>
      <c r="W315" s="58" t="str">
        <f t="shared" si="72"/>
        <v>0xD0</v>
      </c>
      <c r="X315" s="58" t="str">
        <f t="shared" ref="X315:AK315" si="310">"0x" &amp; MID($B315,$V315  + 2*(COLUMN() - COLUMN($W315)), 2)</f>
        <v>0x37</v>
      </c>
      <c r="Y315" s="58" t="str">
        <f t="shared" si="310"/>
        <v>0xF0</v>
      </c>
      <c r="Z315" s="58" t="str">
        <f t="shared" si="310"/>
        <v>0xD2</v>
      </c>
      <c r="AA315" s="58" t="str">
        <f t="shared" si="310"/>
        <v>0x3D</v>
      </c>
      <c r="AB315" s="58" t="str">
        <f t="shared" si="310"/>
        <v>0x04</v>
      </c>
      <c r="AC315" s="58" t="str">
        <f t="shared" si="310"/>
        <v>0x0F</v>
      </c>
      <c r="AD315" s="58" t="str">
        <f t="shared" si="310"/>
        <v>0x01</v>
      </c>
      <c r="AE315" s="58" t="str">
        <f t="shared" si="310"/>
        <v>0x0E</v>
      </c>
      <c r="AF315" s="58" t="str">
        <f t="shared" si="310"/>
        <v>0xED</v>
      </c>
      <c r="AG315" s="58" t="str">
        <f t="shared" si="310"/>
        <v>0x89</v>
      </c>
      <c r="AH315" s="58" t="str">
        <f t="shared" si="310"/>
        <v>0x83</v>
      </c>
      <c r="AI315" s="58" t="str">
        <f t="shared" si="310"/>
        <v>0x51</v>
      </c>
      <c r="AJ315" s="58" t="str">
        <f t="shared" si="310"/>
        <v>0x0E</v>
      </c>
      <c r="AK315" s="58" t="str">
        <f t="shared" si="310"/>
        <v>0xE7</v>
      </c>
      <c r="AL315" s="58"/>
      <c r="AM315" s="58"/>
      <c r="AN315" s="74" t="str">
        <f t="shared" si="297"/>
        <v>0xB0</v>
      </c>
    </row>
    <row r="316" hidden="1">
      <c r="A316" s="33" t="str">
        <f t="shared" si="2"/>
        <v>E914</v>
      </c>
      <c r="B316" s="34" t="str">
        <f>IFERROR(__xludf.DUMMYFUNCTION("REGEXREPLACE($H316, ""(?i)^8301(E000|E100|E200|E300)?"", """")"),"E914007F0F5D4458F44882D0650AD14602C8307B00B0")</f>
        <v>E914007F0F5D4458F44882D0650AD14602C8307B00B0</v>
      </c>
      <c r="C316" s="36" t="s">
        <v>14</v>
      </c>
      <c r="D316" s="36" t="s">
        <v>342</v>
      </c>
      <c r="E316" s="36" t="s">
        <v>75</v>
      </c>
      <c r="F316" s="36" t="s">
        <v>120</v>
      </c>
      <c r="G316" s="37">
        <v>46219.0</v>
      </c>
      <c r="H316" s="38" t="s">
        <v>436</v>
      </c>
      <c r="I316" s="36"/>
      <c r="J316" s="39" t="str">
        <f t="shared" si="3"/>
        <v>0x14</v>
      </c>
      <c r="K316" s="40" t="str">
        <f t="shared" si="4"/>
        <v>0x00</v>
      </c>
      <c r="L316" s="40" t="str">
        <f t="shared" si="5"/>
        <v>0x7F</v>
      </c>
      <c r="M316" s="42">
        <v>2.0</v>
      </c>
      <c r="N316" s="42" t="str">
        <f>"0x"&amp;MID($B316,9,2)</f>
        <v>0x0F</v>
      </c>
      <c r="O316" s="48" t="str">
        <f>"0x"&amp;MID($B316,11,2)</f>
        <v>0x5D</v>
      </c>
      <c r="P316" s="48" t="str">
        <f>"0x"&amp;MID($B316,13,2)</f>
        <v>0x44</v>
      </c>
      <c r="Q316" s="45"/>
      <c r="R316" s="46"/>
      <c r="S316" s="45"/>
      <c r="T316" s="45"/>
      <c r="U316" s="45"/>
      <c r="V316" s="40">
        <v>15.0</v>
      </c>
      <c r="W316" s="40" t="str">
        <f t="shared" si="72"/>
        <v>0x58</v>
      </c>
      <c r="X316" s="40" t="str">
        <f t="shared" ref="X316:AJ316" si="311">"0x" &amp; MID($B316,$V316  + 2*(COLUMN() - COLUMN($W316)), 2)</f>
        <v>0xF4</v>
      </c>
      <c r="Y316" s="40" t="str">
        <f t="shared" si="311"/>
        <v>0x48</v>
      </c>
      <c r="Z316" s="40" t="str">
        <f t="shared" si="311"/>
        <v>0x82</v>
      </c>
      <c r="AA316" s="40" t="str">
        <f t="shared" si="311"/>
        <v>0xD0</v>
      </c>
      <c r="AB316" s="40" t="str">
        <f t="shared" si="311"/>
        <v>0x65</v>
      </c>
      <c r="AC316" s="40" t="str">
        <f t="shared" si="311"/>
        <v>0x0A</v>
      </c>
      <c r="AD316" s="40" t="str">
        <f t="shared" si="311"/>
        <v>0xD1</v>
      </c>
      <c r="AE316" s="40" t="str">
        <f t="shared" si="311"/>
        <v>0x46</v>
      </c>
      <c r="AF316" s="40" t="str">
        <f t="shared" si="311"/>
        <v>0x02</v>
      </c>
      <c r="AG316" s="40" t="str">
        <f t="shared" si="311"/>
        <v>0xC8</v>
      </c>
      <c r="AH316" s="40" t="str">
        <f t="shared" si="311"/>
        <v>0x30</v>
      </c>
      <c r="AI316" s="40" t="str">
        <f t="shared" si="311"/>
        <v>0x7B</v>
      </c>
      <c r="AJ316" s="40" t="str">
        <f t="shared" si="311"/>
        <v>0x00</v>
      </c>
      <c r="AK316" s="40"/>
      <c r="AL316" s="40"/>
      <c r="AM316" s="40"/>
      <c r="AN316" s="75" t="str">
        <f t="shared" si="297"/>
        <v>0xB0</v>
      </c>
    </row>
  </sheetData>
  <autoFilter ref="$A$1:$AN$316">
    <filterColumn colId="5">
      <filters>
        <filter val="Lion King"/>
      </filters>
    </filterColumn>
    <sortState ref="A1:AN316">
      <sortCondition ref="B1:B316"/>
      <sortCondition ref="C1:C316"/>
      <sortCondition ref="W1:W316"/>
      <sortCondition ref="N1:N316"/>
      <sortCondition ref="D1:D316"/>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8.63"/>
    <col customWidth="1" min="5" max="7" width="14.0"/>
    <col customWidth="1" min="8" max="8" width="10.75"/>
    <col customWidth="1" min="9" max="10" width="11.88"/>
    <col customWidth="1" hidden="1" min="11" max="11" width="10.5"/>
    <col customWidth="1" hidden="1" min="12" max="12" width="14.75"/>
    <col customWidth="1" hidden="1" min="13" max="13" width="9.5"/>
    <col customWidth="1" hidden="1" min="14" max="14" width="53.0"/>
    <col customWidth="1" hidden="1" min="15" max="15" width="12.63"/>
    <col customWidth="1" min="16" max="16" width="9.0"/>
    <col customWidth="1" min="17" max="17" width="5.88"/>
    <col customWidth="1" min="18" max="18" width="5.75"/>
    <col customWidth="1" min="19" max="19" width="4.38"/>
    <col customWidth="1" min="20" max="20" width="7.0"/>
    <col customWidth="1" min="21" max="23" width="5.63"/>
    <col customWidth="1" hidden="1" min="24" max="24" width="7.0"/>
    <col customWidth="1" min="25" max="26" width="5.63"/>
    <col customWidth="1" hidden="1" min="27" max="27" width="5.63"/>
    <col customWidth="1" min="28" max="28" width="7.25"/>
    <col customWidth="1" min="29" max="39" width="6.38"/>
    <col customWidth="1" min="40" max="40" width="6.25"/>
    <col customWidth="1" min="41" max="42" width="6.38"/>
    <col customWidth="1" hidden="1" min="43" max="45" width="6.38"/>
    <col customWidth="1" min="46" max="46" width="6.0"/>
  </cols>
  <sheetData>
    <row r="1">
      <c r="A1" s="19" t="s">
        <v>62</v>
      </c>
      <c r="B1" s="20" t="s">
        <v>71</v>
      </c>
      <c r="C1" s="20" t="s">
        <v>73</v>
      </c>
      <c r="D1" s="20" t="s">
        <v>6</v>
      </c>
      <c r="E1" s="20" t="s">
        <v>78</v>
      </c>
      <c r="F1" s="20" t="s">
        <v>79</v>
      </c>
      <c r="G1" s="20" t="s">
        <v>80</v>
      </c>
      <c r="H1" s="20" t="s">
        <v>81</v>
      </c>
      <c r="I1" s="20" t="s">
        <v>82</v>
      </c>
      <c r="J1" s="20" t="s">
        <v>84</v>
      </c>
      <c r="K1" s="20" t="s">
        <v>69</v>
      </c>
      <c r="L1" s="20" t="s">
        <v>70</v>
      </c>
      <c r="M1" s="20" t="s">
        <v>67</v>
      </c>
      <c r="N1" s="20" t="s">
        <v>44</v>
      </c>
      <c r="O1" s="20" t="s">
        <v>74</v>
      </c>
      <c r="P1" s="21" t="s">
        <v>1</v>
      </c>
      <c r="Q1" s="23" t="s">
        <v>5</v>
      </c>
      <c r="R1" s="23" t="s">
        <v>8</v>
      </c>
      <c r="S1" s="25" t="s">
        <v>11</v>
      </c>
      <c r="T1" s="25" t="s">
        <v>20</v>
      </c>
      <c r="U1" s="26" t="s">
        <v>23</v>
      </c>
      <c r="V1" s="26" t="s">
        <v>28</v>
      </c>
      <c r="W1" s="26" t="s">
        <v>31</v>
      </c>
      <c r="X1" s="25" t="s">
        <v>34</v>
      </c>
      <c r="Y1" s="26" t="s">
        <v>37</v>
      </c>
      <c r="Z1" s="26" t="s">
        <v>40</v>
      </c>
      <c r="AA1" s="26" t="s">
        <v>43</v>
      </c>
      <c r="AB1" s="28" t="s">
        <v>48</v>
      </c>
      <c r="AC1" s="28" t="s">
        <v>83</v>
      </c>
      <c r="AD1" s="28" t="s">
        <v>85</v>
      </c>
      <c r="AE1" s="28" t="s">
        <v>86</v>
      </c>
      <c r="AF1" s="28" t="s">
        <v>88</v>
      </c>
      <c r="AG1" s="28" t="s">
        <v>89</v>
      </c>
      <c r="AH1" s="28" t="s">
        <v>90</v>
      </c>
      <c r="AI1" s="28" t="s">
        <v>91</v>
      </c>
      <c r="AJ1" s="28" t="s">
        <v>93</v>
      </c>
      <c r="AK1" s="28" t="s">
        <v>94</v>
      </c>
      <c r="AL1" s="28" t="s">
        <v>95</v>
      </c>
      <c r="AM1" s="28" t="s">
        <v>96</v>
      </c>
      <c r="AN1" s="28" t="s">
        <v>97</v>
      </c>
      <c r="AO1" s="28" t="s">
        <v>98</v>
      </c>
      <c r="AP1" s="28" t="s">
        <v>100</v>
      </c>
      <c r="AQ1" s="28" t="s">
        <v>101</v>
      </c>
      <c r="AR1" s="28" t="s">
        <v>102</v>
      </c>
      <c r="AS1" s="28" t="s">
        <v>103</v>
      </c>
      <c r="AT1" s="32" t="s">
        <v>57</v>
      </c>
    </row>
    <row r="2">
      <c r="A2" s="33" t="str">
        <f t="shared" ref="A2:A12" si="2">LEFT($B2, 4)</f>
        <v>E90C</v>
      </c>
      <c r="B2" s="34" t="str">
        <f>IFERROR(__xludf.DUMMYFUNCTION("REGEXREPLACE($N2, ""(?i)^8301(E000|E100|E200|E300)?"", """")"),"E90C00640FB2A4B5B2B5307B7DB0")</f>
        <v>E90C00640FB2A4B5B2B5307B7DB0</v>
      </c>
      <c r="C2" s="36" t="s">
        <v>14</v>
      </c>
      <c r="D2" s="36"/>
      <c r="E2" s="36" t="s">
        <v>115</v>
      </c>
      <c r="F2" s="36">
        <v>5.0</v>
      </c>
      <c r="G2" s="36" t="s">
        <v>116</v>
      </c>
      <c r="H2" s="36" t="s">
        <v>118</v>
      </c>
      <c r="I2" s="36">
        <v>3.0</v>
      </c>
      <c r="J2" s="36" t="s">
        <v>119</v>
      </c>
      <c r="K2" s="36" t="s">
        <v>75</v>
      </c>
      <c r="L2" s="36" t="s">
        <v>120</v>
      </c>
      <c r="M2" s="37">
        <v>46219.0</v>
      </c>
      <c r="N2" s="38" t="s">
        <v>121</v>
      </c>
      <c r="O2" s="36"/>
      <c r="P2" s="39" t="str">
        <f t="shared" ref="P2:P24" si="3">"0x"&amp;mid($B2,3,2)</f>
        <v>0x0C</v>
      </c>
      <c r="Q2" s="40" t="str">
        <f t="shared" ref="Q2:Q24" si="4">"0x"&amp;MID($B2,5,2)</f>
        <v>0x00</v>
      </c>
      <c r="R2" s="40" t="str">
        <f t="shared" ref="R2:R24" si="5">"0x"&amp;MID($B2,7,2)</f>
        <v>0x64</v>
      </c>
      <c r="S2" s="42">
        <v>5.0</v>
      </c>
      <c r="T2" s="42" t="str">
        <f t="shared" ref="T2:T24" si="6">"0x"&amp;MID($B2,9,2)</f>
        <v>0x0F</v>
      </c>
      <c r="U2" s="48" t="str">
        <f t="shared" ref="U2:U24" si="7">"0x"&amp;MID($B2,11,2)</f>
        <v>0xB2</v>
      </c>
      <c r="V2" s="48" t="str">
        <f t="shared" ref="V2:V24" si="8">"0x"&amp;MID($B2,13,2)</f>
        <v>0xA4</v>
      </c>
      <c r="W2" s="48" t="str">
        <f t="shared" ref="W2:W7" si="9">"0x"&amp;MID($B2,15,2)</f>
        <v>0xB5</v>
      </c>
      <c r="X2" s="42"/>
      <c r="Y2" s="48" t="str">
        <f t="shared" ref="Y2:Y7" si="10">"0x"&amp;MID($B2,17,2)</f>
        <v>0xB2</v>
      </c>
      <c r="Z2" s="48" t="str">
        <f t="shared" ref="Z2:Z7" si="11">"0x"&amp;MID($B2,19,2)</f>
        <v>0xB5</v>
      </c>
      <c r="AA2" s="48"/>
      <c r="AB2" s="40">
        <v>21.0</v>
      </c>
      <c r="AC2" s="40" t="str">
        <f t="shared" ref="AC2:AE2" si="1">"0x" &amp; MID($B2,$AB2  + 2*(COLUMN() - COLUMN($AC2)), 2)</f>
        <v>0x30</v>
      </c>
      <c r="AD2" s="40" t="str">
        <f t="shared" si="1"/>
        <v>0x7B</v>
      </c>
      <c r="AE2" s="40" t="str">
        <f t="shared" si="1"/>
        <v>0x7D</v>
      </c>
      <c r="AF2" s="40"/>
      <c r="AG2" s="40"/>
      <c r="AH2" s="40"/>
      <c r="AI2" s="40"/>
      <c r="AJ2" s="40"/>
      <c r="AK2" s="40"/>
      <c r="AL2" s="40"/>
      <c r="AM2" s="40"/>
      <c r="AN2" s="40"/>
      <c r="AO2" s="40"/>
      <c r="AP2" s="40"/>
      <c r="AQ2" s="40"/>
      <c r="AR2" s="40"/>
      <c r="AS2" s="40"/>
      <c r="AT2" s="64" t="str">
        <f t="shared" ref="AT2:AT3" si="13">"0x"&amp;MID($B2,27,2)</f>
        <v>0xB0</v>
      </c>
    </row>
    <row r="3">
      <c r="A3" s="51" t="str">
        <f t="shared" si="2"/>
        <v>E90C</v>
      </c>
      <c r="B3" s="52" t="str">
        <f>IFERROR(__xludf.DUMMYFUNCTION("REGEXREPLACE($N3, ""(?i)^8301(E000|E100|E200|E300)?"", """")"),"E90C00CF0FB9A4B9A4A8307B7BB0")</f>
        <v>E90C00CF0FB9A4B9A4A8307B7BB0</v>
      </c>
      <c r="C3" s="65" t="s">
        <v>14</v>
      </c>
      <c r="D3" s="65"/>
      <c r="E3" s="65" t="s">
        <v>115</v>
      </c>
      <c r="F3" s="65">
        <v>5.0</v>
      </c>
      <c r="G3" s="65" t="s">
        <v>116</v>
      </c>
      <c r="H3" s="65" t="s">
        <v>118</v>
      </c>
      <c r="I3" s="65">
        <v>3.0</v>
      </c>
      <c r="J3" s="65" t="s">
        <v>119</v>
      </c>
      <c r="K3" s="65" t="s">
        <v>75</v>
      </c>
      <c r="L3" s="65" t="s">
        <v>120</v>
      </c>
      <c r="M3" s="67">
        <v>46219.0</v>
      </c>
      <c r="N3" s="68" t="s">
        <v>149</v>
      </c>
      <c r="O3" s="65"/>
      <c r="P3" s="57" t="str">
        <f t="shared" si="3"/>
        <v>0x0C</v>
      </c>
      <c r="Q3" s="58" t="str">
        <f t="shared" si="4"/>
        <v>0x00</v>
      </c>
      <c r="R3" s="58" t="str">
        <f t="shared" si="5"/>
        <v>0xCF</v>
      </c>
      <c r="S3" s="59">
        <v>5.0</v>
      </c>
      <c r="T3" s="59" t="str">
        <f t="shared" si="6"/>
        <v>0x0F</v>
      </c>
      <c r="U3" s="71" t="str">
        <f t="shared" si="7"/>
        <v>0xB9</v>
      </c>
      <c r="V3" s="71" t="str">
        <f t="shared" si="8"/>
        <v>0xA4</v>
      </c>
      <c r="W3" s="71" t="str">
        <f t="shared" si="9"/>
        <v>0xB9</v>
      </c>
      <c r="X3" s="59"/>
      <c r="Y3" s="71" t="str">
        <f t="shared" si="10"/>
        <v>0xA4</v>
      </c>
      <c r="Z3" s="71" t="str">
        <f t="shared" si="11"/>
        <v>0xA8</v>
      </c>
      <c r="AA3" s="71"/>
      <c r="AB3" s="58">
        <v>21.0</v>
      </c>
      <c r="AC3" s="58" t="str">
        <f t="shared" ref="AC3:AE3" si="12">"0x" &amp; MID($B3,$AB3  + 2*(COLUMN() - COLUMN($AC3)), 2)</f>
        <v>0x30</v>
      </c>
      <c r="AD3" s="58" t="str">
        <f t="shared" si="12"/>
        <v>0x7B</v>
      </c>
      <c r="AE3" s="58" t="str">
        <f t="shared" si="12"/>
        <v>0x7B</v>
      </c>
      <c r="AF3" s="58"/>
      <c r="AG3" s="58"/>
      <c r="AH3" s="58"/>
      <c r="AI3" s="58"/>
      <c r="AJ3" s="58"/>
      <c r="AK3" s="58"/>
      <c r="AL3" s="58"/>
      <c r="AM3" s="58"/>
      <c r="AN3" s="58"/>
      <c r="AO3" s="58"/>
      <c r="AP3" s="58"/>
      <c r="AQ3" s="58"/>
      <c r="AR3" s="58"/>
      <c r="AS3" s="58"/>
      <c r="AT3" s="74" t="str">
        <f t="shared" si="13"/>
        <v>0xB0</v>
      </c>
    </row>
    <row r="4">
      <c r="A4" s="33" t="str">
        <f t="shared" si="2"/>
        <v>E90B</v>
      </c>
      <c r="B4" s="34" t="str">
        <f>IFERROR(__xludf.DUMMYFUNCTION("REGEXREPLACE($N4, ""(?i)^8301(E000|E100|E200|E300)?"", """")"),"E90B00680FAFB5AFB5BD307B02")</f>
        <v>E90B00680FAFB5AFB5BD307B02</v>
      </c>
      <c r="C4" s="36" t="s">
        <v>14</v>
      </c>
      <c r="D4" s="36"/>
      <c r="E4" s="36" t="s">
        <v>115</v>
      </c>
      <c r="F4" s="36">
        <v>10.0</v>
      </c>
      <c r="G4" s="36" t="s">
        <v>167</v>
      </c>
      <c r="H4" s="36" t="s">
        <v>118</v>
      </c>
      <c r="I4" s="36">
        <v>5.0</v>
      </c>
      <c r="J4" s="36" t="s">
        <v>119</v>
      </c>
      <c r="K4" s="36" t="s">
        <v>106</v>
      </c>
      <c r="L4" s="36" t="s">
        <v>107</v>
      </c>
      <c r="M4" s="37">
        <v>46220.0</v>
      </c>
      <c r="N4" s="38" t="s">
        <v>170</v>
      </c>
      <c r="O4" s="36"/>
      <c r="P4" s="39" t="str">
        <f t="shared" si="3"/>
        <v>0x0B</v>
      </c>
      <c r="Q4" s="40" t="str">
        <f t="shared" si="4"/>
        <v>0x00</v>
      </c>
      <c r="R4" s="40" t="str">
        <f t="shared" si="5"/>
        <v>0x68</v>
      </c>
      <c r="S4" s="42">
        <v>5.0</v>
      </c>
      <c r="T4" s="42" t="str">
        <f t="shared" si="6"/>
        <v>0x0F</v>
      </c>
      <c r="U4" s="48" t="str">
        <f t="shared" si="7"/>
        <v>0xAF</v>
      </c>
      <c r="V4" s="48" t="str">
        <f t="shared" si="8"/>
        <v>0xB5</v>
      </c>
      <c r="W4" s="48" t="str">
        <f t="shared" si="9"/>
        <v>0xAF</v>
      </c>
      <c r="X4" s="42"/>
      <c r="Y4" s="48" t="str">
        <f t="shared" si="10"/>
        <v>0xB5</v>
      </c>
      <c r="Z4" s="48" t="str">
        <f t="shared" si="11"/>
        <v>0xBD</v>
      </c>
      <c r="AA4" s="48"/>
      <c r="AB4" s="40">
        <v>21.0</v>
      </c>
      <c r="AC4" s="47" t="str">
        <f t="shared" ref="AC4:AE4" si="14">"0x" &amp; MID($B4,$AB4  + 2*(COLUMN() - COLUMN($AC4)), 2)</f>
        <v>0x30</v>
      </c>
      <c r="AD4" s="47" t="str">
        <f t="shared" si="14"/>
        <v>0x7B</v>
      </c>
      <c r="AE4" s="47" t="str">
        <f t="shared" si="14"/>
        <v>0x02</v>
      </c>
      <c r="AF4" s="47"/>
      <c r="AG4" s="47"/>
      <c r="AH4" s="47"/>
      <c r="AI4" s="47"/>
      <c r="AJ4" s="47"/>
      <c r="AK4" s="47"/>
      <c r="AL4" s="40"/>
      <c r="AM4" s="40"/>
      <c r="AN4" s="40"/>
      <c r="AO4" s="40"/>
      <c r="AP4" s="40"/>
      <c r="AQ4" s="40"/>
      <c r="AR4" s="40"/>
      <c r="AS4" s="40"/>
      <c r="AT4" s="75"/>
    </row>
    <row r="5">
      <c r="A5" s="51" t="str">
        <f t="shared" si="2"/>
        <v>E90C</v>
      </c>
      <c r="B5" s="52" t="str">
        <f>IFERROR(__xludf.DUMMYFUNCTION("REGEXREPLACE($N5, ""(?i)^8301(E000|E100|E200|E300)?"", """")"),"E90C00460FB5B1B9A4A8307B00B0")</f>
        <v>E90C00460FB5B1B9A4A8307B00B0</v>
      </c>
      <c r="C5" s="65" t="s">
        <v>14</v>
      </c>
      <c r="D5" s="65"/>
      <c r="E5" s="65" t="s">
        <v>115</v>
      </c>
      <c r="F5" s="65">
        <v>10.0</v>
      </c>
      <c r="G5" s="65" t="s">
        <v>167</v>
      </c>
      <c r="H5" s="65" t="s">
        <v>118</v>
      </c>
      <c r="I5" s="65">
        <v>5.0</v>
      </c>
      <c r="J5" s="65" t="s">
        <v>119</v>
      </c>
      <c r="K5" s="65" t="s">
        <v>106</v>
      </c>
      <c r="L5" s="65" t="s">
        <v>175</v>
      </c>
      <c r="M5" s="67">
        <v>46220.0</v>
      </c>
      <c r="N5" s="68" t="s">
        <v>177</v>
      </c>
      <c r="O5" s="65"/>
      <c r="P5" s="57" t="str">
        <f t="shared" si="3"/>
        <v>0x0C</v>
      </c>
      <c r="Q5" s="58" t="str">
        <f t="shared" si="4"/>
        <v>0x00</v>
      </c>
      <c r="R5" s="58" t="str">
        <f t="shared" si="5"/>
        <v>0x46</v>
      </c>
      <c r="S5" s="59">
        <v>5.0</v>
      </c>
      <c r="T5" s="59" t="str">
        <f t="shared" si="6"/>
        <v>0x0F</v>
      </c>
      <c r="U5" s="71" t="str">
        <f t="shared" si="7"/>
        <v>0xB5</v>
      </c>
      <c r="V5" s="71" t="str">
        <f t="shared" si="8"/>
        <v>0xB1</v>
      </c>
      <c r="W5" s="71" t="str">
        <f t="shared" si="9"/>
        <v>0xB9</v>
      </c>
      <c r="X5" s="59"/>
      <c r="Y5" s="71" t="str">
        <f t="shared" si="10"/>
        <v>0xA4</v>
      </c>
      <c r="Z5" s="71" t="str">
        <f t="shared" si="11"/>
        <v>0xA8</v>
      </c>
      <c r="AA5" s="71"/>
      <c r="AB5" s="58">
        <v>21.0</v>
      </c>
      <c r="AC5" s="58" t="str">
        <f t="shared" ref="AC5:AE5" si="15">"0x" &amp; MID($B5,$AB5  + 2*(COLUMN() - COLUMN($AC5)), 2)</f>
        <v>0x30</v>
      </c>
      <c r="AD5" s="58" t="str">
        <f t="shared" si="15"/>
        <v>0x7B</v>
      </c>
      <c r="AE5" s="58" t="str">
        <f t="shared" si="15"/>
        <v>0x00</v>
      </c>
      <c r="AF5" s="58"/>
      <c r="AG5" s="58"/>
      <c r="AH5" s="58"/>
      <c r="AI5" s="58"/>
      <c r="AJ5" s="58"/>
      <c r="AK5" s="58"/>
      <c r="AL5" s="58"/>
      <c r="AM5" s="58"/>
      <c r="AN5" s="58"/>
      <c r="AO5" s="58"/>
      <c r="AP5" s="58"/>
      <c r="AQ5" s="58"/>
      <c r="AR5" s="58"/>
      <c r="AS5" s="58"/>
      <c r="AT5" s="74" t="str">
        <f t="shared" ref="AT5:AT8" si="17">"0x"&amp;MID($B5,27,2)</f>
        <v>0xB0</v>
      </c>
    </row>
    <row r="6">
      <c r="A6" s="33" t="str">
        <f t="shared" si="2"/>
        <v>E90C</v>
      </c>
      <c r="B6" s="34" t="str">
        <f>IFERROR(__xludf.DUMMYFUNCTION("REGEXREPLACE($N6, ""(?i)^8301(E000|E100|E200|E300)?"", """")"),"E90C00830FB9B1B6B1B6307B07B0")</f>
        <v>E90C00830FB9B1B6B1B6307B07B0</v>
      </c>
      <c r="C6" s="36" t="s">
        <v>14</v>
      </c>
      <c r="D6" s="36"/>
      <c r="E6" s="36" t="s">
        <v>115</v>
      </c>
      <c r="F6" s="36">
        <v>10.0</v>
      </c>
      <c r="G6" s="36" t="s">
        <v>167</v>
      </c>
      <c r="H6" s="36" t="s">
        <v>118</v>
      </c>
      <c r="I6" s="36">
        <v>5.0</v>
      </c>
      <c r="J6" s="36" t="s">
        <v>119</v>
      </c>
      <c r="K6" s="36" t="s">
        <v>106</v>
      </c>
      <c r="L6" s="36" t="s">
        <v>175</v>
      </c>
      <c r="M6" s="37">
        <v>46220.0</v>
      </c>
      <c r="N6" s="38" t="s">
        <v>202</v>
      </c>
      <c r="O6" s="36"/>
      <c r="P6" s="39" t="str">
        <f t="shared" si="3"/>
        <v>0x0C</v>
      </c>
      <c r="Q6" s="40" t="str">
        <f t="shared" si="4"/>
        <v>0x00</v>
      </c>
      <c r="R6" s="40" t="str">
        <f t="shared" si="5"/>
        <v>0x83</v>
      </c>
      <c r="S6" s="42">
        <v>5.0</v>
      </c>
      <c r="T6" s="42" t="str">
        <f t="shared" si="6"/>
        <v>0x0F</v>
      </c>
      <c r="U6" s="48" t="str">
        <f t="shared" si="7"/>
        <v>0xB9</v>
      </c>
      <c r="V6" s="48" t="str">
        <f t="shared" si="8"/>
        <v>0xB1</v>
      </c>
      <c r="W6" s="48" t="str">
        <f t="shared" si="9"/>
        <v>0xB6</v>
      </c>
      <c r="X6" s="42"/>
      <c r="Y6" s="48" t="str">
        <f t="shared" si="10"/>
        <v>0xB1</v>
      </c>
      <c r="Z6" s="48" t="str">
        <f t="shared" si="11"/>
        <v>0xB6</v>
      </c>
      <c r="AA6" s="48"/>
      <c r="AB6" s="40">
        <v>21.0</v>
      </c>
      <c r="AC6" s="40" t="str">
        <f t="shared" ref="AC6:AE6" si="16">"0x" &amp; MID($B6,$AB6  + 2*(COLUMN() - COLUMN($AC6)), 2)</f>
        <v>0x30</v>
      </c>
      <c r="AD6" s="40" t="str">
        <f t="shared" si="16"/>
        <v>0x7B</v>
      </c>
      <c r="AE6" s="40" t="str">
        <f t="shared" si="16"/>
        <v>0x07</v>
      </c>
      <c r="AF6" s="40"/>
      <c r="AG6" s="40"/>
      <c r="AH6" s="40"/>
      <c r="AI6" s="40"/>
      <c r="AJ6" s="40"/>
      <c r="AK6" s="40"/>
      <c r="AL6" s="40"/>
      <c r="AM6" s="40"/>
      <c r="AN6" s="40"/>
      <c r="AO6" s="40"/>
      <c r="AP6" s="40"/>
      <c r="AQ6" s="40"/>
      <c r="AR6" s="40"/>
      <c r="AS6" s="40"/>
      <c r="AT6" s="64" t="str">
        <f t="shared" si="17"/>
        <v>0xB0</v>
      </c>
    </row>
    <row r="7">
      <c r="A7" s="51" t="str">
        <f t="shared" si="2"/>
        <v>E90C</v>
      </c>
      <c r="B7" s="52" t="str">
        <f>IFERROR(__xludf.DUMMYFUNCTION("REGEXREPLACE($N7, ""(?i)^8301(E000|E100|E200|E300)?"", """")"),"E90C00A30FBDAEB3A2B9307BFBB0")</f>
        <v>E90C00A30FBDAEB3A2B9307BFBB0</v>
      </c>
      <c r="C7" s="65" t="s">
        <v>14</v>
      </c>
      <c r="D7" s="65"/>
      <c r="E7" s="65" t="s">
        <v>115</v>
      </c>
      <c r="F7" s="65">
        <v>10.0</v>
      </c>
      <c r="G7" s="65" t="s">
        <v>167</v>
      </c>
      <c r="H7" s="65" t="s">
        <v>118</v>
      </c>
      <c r="I7" s="65">
        <v>5.0</v>
      </c>
      <c r="J7" s="65" t="s">
        <v>119</v>
      </c>
      <c r="K7" s="65" t="s">
        <v>217</v>
      </c>
      <c r="L7" s="65" t="s">
        <v>218</v>
      </c>
      <c r="M7" s="67">
        <v>46244.0</v>
      </c>
      <c r="N7" s="68" t="s">
        <v>220</v>
      </c>
      <c r="O7" s="65"/>
      <c r="P7" s="57" t="str">
        <f t="shared" si="3"/>
        <v>0x0C</v>
      </c>
      <c r="Q7" s="58" t="str">
        <f t="shared" si="4"/>
        <v>0x00</v>
      </c>
      <c r="R7" s="58" t="str">
        <f t="shared" si="5"/>
        <v>0xA3</v>
      </c>
      <c r="S7" s="59">
        <v>5.0</v>
      </c>
      <c r="T7" s="59" t="str">
        <f t="shared" si="6"/>
        <v>0x0F</v>
      </c>
      <c r="U7" s="71" t="str">
        <f t="shared" si="7"/>
        <v>0xBD</v>
      </c>
      <c r="V7" s="71" t="str">
        <f t="shared" si="8"/>
        <v>0xAE</v>
      </c>
      <c r="W7" s="71" t="str">
        <f t="shared" si="9"/>
        <v>0xB3</v>
      </c>
      <c r="X7" s="59"/>
      <c r="Y7" s="71" t="str">
        <f t="shared" si="10"/>
        <v>0xA2</v>
      </c>
      <c r="Z7" s="71" t="str">
        <f t="shared" si="11"/>
        <v>0xB9</v>
      </c>
      <c r="AA7" s="71"/>
      <c r="AB7" s="58">
        <v>21.0</v>
      </c>
      <c r="AC7" s="58" t="str">
        <f t="shared" ref="AC7:AE7" si="18">"0x" &amp; MID($B7,$AB7  + 2*(COLUMN() - COLUMN($AC7)), 2)</f>
        <v>0x30</v>
      </c>
      <c r="AD7" s="58" t="str">
        <f t="shared" si="18"/>
        <v>0x7B</v>
      </c>
      <c r="AE7" s="58" t="str">
        <f t="shared" si="18"/>
        <v>0xFB</v>
      </c>
      <c r="AF7" s="58"/>
      <c r="AG7" s="58"/>
      <c r="AH7" s="58"/>
      <c r="AI7" s="58"/>
      <c r="AJ7" s="58"/>
      <c r="AK7" s="58"/>
      <c r="AL7" s="58"/>
      <c r="AM7" s="58"/>
      <c r="AN7" s="58"/>
      <c r="AO7" s="58"/>
      <c r="AP7" s="58"/>
      <c r="AQ7" s="58"/>
      <c r="AR7" s="58"/>
      <c r="AS7" s="58"/>
      <c r="AT7" s="74" t="str">
        <f t="shared" si="17"/>
        <v>0xB0</v>
      </c>
    </row>
    <row r="8">
      <c r="A8" s="33" t="str">
        <f t="shared" si="2"/>
        <v>E90C</v>
      </c>
      <c r="B8" s="34" t="str">
        <f>IFERROR(__xludf.DUMMYFUNCTION("REGEXREPLACE($N8, ""(?i)^8301(E000|E100|E200|E300)?"", """")"),"E90C00150F5B5548A5D1654003B8")</f>
        <v>E90C00150F5B5548A5D1654003B8</v>
      </c>
      <c r="C8" s="36" t="s">
        <v>14</v>
      </c>
      <c r="D8" s="36" t="s">
        <v>233</v>
      </c>
      <c r="E8" s="36"/>
      <c r="F8" s="36"/>
      <c r="G8" s="36"/>
      <c r="H8" s="36"/>
      <c r="I8" s="36"/>
      <c r="J8" s="36" t="s">
        <v>119</v>
      </c>
      <c r="K8" s="36" t="s">
        <v>129</v>
      </c>
      <c r="L8" s="69" t="s">
        <v>137</v>
      </c>
      <c r="M8" s="37">
        <v>46240.0</v>
      </c>
      <c r="N8" s="44" t="s">
        <v>236</v>
      </c>
      <c r="O8" s="36" t="s">
        <v>153</v>
      </c>
      <c r="P8" s="39" t="str">
        <f t="shared" si="3"/>
        <v>0x0C</v>
      </c>
      <c r="Q8" s="40" t="str">
        <f t="shared" si="4"/>
        <v>0x00</v>
      </c>
      <c r="R8" s="40" t="str">
        <f t="shared" si="5"/>
        <v>0x15</v>
      </c>
      <c r="S8" s="42">
        <v>2.0</v>
      </c>
      <c r="T8" s="42" t="str">
        <f t="shared" si="6"/>
        <v>0x0F</v>
      </c>
      <c r="U8" s="48" t="str">
        <f t="shared" si="7"/>
        <v>0x5B</v>
      </c>
      <c r="V8" s="48" t="str">
        <f t="shared" si="8"/>
        <v>0x55</v>
      </c>
      <c r="W8" s="48"/>
      <c r="X8" s="42"/>
      <c r="Y8" s="48"/>
      <c r="Z8" s="48"/>
      <c r="AA8" s="48"/>
      <c r="AB8" s="40">
        <v>15.0</v>
      </c>
      <c r="AC8" s="47" t="str">
        <f t="shared" ref="AC8:AH8" si="19">"0x" &amp; MID($B8,$AB8  + 2*(COLUMN() - COLUMN($AC8)), 2)</f>
        <v>0x48</v>
      </c>
      <c r="AD8" s="47" t="str">
        <f t="shared" si="19"/>
        <v>0xA5</v>
      </c>
      <c r="AE8" s="47" t="str">
        <f t="shared" si="19"/>
        <v>0xD1</v>
      </c>
      <c r="AF8" s="47" t="str">
        <f t="shared" si="19"/>
        <v>0x65</v>
      </c>
      <c r="AG8" s="47" t="str">
        <f t="shared" si="19"/>
        <v>0x40</v>
      </c>
      <c r="AH8" s="47" t="str">
        <f t="shared" si="19"/>
        <v>0x03</v>
      </c>
      <c r="AI8" s="47"/>
      <c r="AJ8" s="47"/>
      <c r="AK8" s="47"/>
      <c r="AL8" s="40"/>
      <c r="AM8" s="40"/>
      <c r="AN8" s="40"/>
      <c r="AO8" s="40"/>
      <c r="AP8" s="40"/>
      <c r="AQ8" s="40"/>
      <c r="AR8" s="40"/>
      <c r="AS8" s="40"/>
      <c r="AT8" s="64" t="str">
        <f t="shared" si="17"/>
        <v>0xB8</v>
      </c>
    </row>
    <row r="9">
      <c r="A9" s="51" t="str">
        <f t="shared" si="2"/>
        <v>E910</v>
      </c>
      <c r="B9" s="52" t="str">
        <f>IFERROR(__xludf.DUMMYFUNCTION("REGEXREPLACE($N9, ""(?i)^8301(E000|E100|E200|E300)?"", """")"),"E91000610F475658F44882D1460908D06519")</f>
        <v>E91000610F475658F44882D1460908D06519</v>
      </c>
      <c r="C9" s="65" t="s">
        <v>14</v>
      </c>
      <c r="D9" s="65" t="s">
        <v>249</v>
      </c>
      <c r="E9" s="65" t="s">
        <v>115</v>
      </c>
      <c r="F9" s="65">
        <v>5.0</v>
      </c>
      <c r="G9" s="65" t="s">
        <v>116</v>
      </c>
      <c r="H9" s="65" t="s">
        <v>249</v>
      </c>
      <c r="I9" s="65"/>
      <c r="J9" s="65" t="s">
        <v>251</v>
      </c>
      <c r="K9" s="65" t="s">
        <v>106</v>
      </c>
      <c r="L9" s="65" t="s">
        <v>107</v>
      </c>
      <c r="M9" s="67">
        <v>46220.0</v>
      </c>
      <c r="N9" s="68" t="s">
        <v>252</v>
      </c>
      <c r="O9" s="65"/>
      <c r="P9" s="57" t="str">
        <f t="shared" si="3"/>
        <v>0x10</v>
      </c>
      <c r="Q9" s="58" t="str">
        <f t="shared" si="4"/>
        <v>0x00</v>
      </c>
      <c r="R9" s="58" t="str">
        <f t="shared" si="5"/>
        <v>0x61</v>
      </c>
      <c r="S9" s="59">
        <v>2.0</v>
      </c>
      <c r="T9" s="59" t="str">
        <f t="shared" si="6"/>
        <v>0x0F</v>
      </c>
      <c r="U9" s="71" t="str">
        <f t="shared" si="7"/>
        <v>0x47</v>
      </c>
      <c r="V9" s="71" t="str">
        <f t="shared" si="8"/>
        <v>0x56</v>
      </c>
      <c r="W9" s="71"/>
      <c r="X9" s="59"/>
      <c r="Y9" s="71"/>
      <c r="Z9" s="71"/>
      <c r="AA9" s="71"/>
      <c r="AB9" s="58">
        <v>15.0</v>
      </c>
      <c r="AC9" s="58" t="str">
        <f t="shared" ref="AC9:AM9" si="20">"0x" &amp; MID($B9,$AB9  + 2*(COLUMN() - COLUMN($AC9)), 2)</f>
        <v>0x58</v>
      </c>
      <c r="AD9" s="58" t="str">
        <f t="shared" si="20"/>
        <v>0xF4</v>
      </c>
      <c r="AE9" s="58" t="str">
        <f t="shared" si="20"/>
        <v>0x48</v>
      </c>
      <c r="AF9" s="58" t="str">
        <f t="shared" si="20"/>
        <v>0x82</v>
      </c>
      <c r="AG9" s="58" t="str">
        <f t="shared" si="20"/>
        <v>0xD1</v>
      </c>
      <c r="AH9" s="58" t="str">
        <f t="shared" si="20"/>
        <v>0x46</v>
      </c>
      <c r="AI9" s="58" t="str">
        <f t="shared" si="20"/>
        <v>0x09</v>
      </c>
      <c r="AJ9" s="58" t="str">
        <f t="shared" si="20"/>
        <v>0x08</v>
      </c>
      <c r="AK9" s="58" t="str">
        <f t="shared" si="20"/>
        <v>0xD0</v>
      </c>
      <c r="AL9" s="58" t="str">
        <f t="shared" si="20"/>
        <v>0x65</v>
      </c>
      <c r="AM9" s="58" t="str">
        <f t="shared" si="20"/>
        <v>0x19</v>
      </c>
      <c r="AN9" s="58"/>
      <c r="AO9" s="58"/>
      <c r="AP9" s="58"/>
      <c r="AQ9" s="58"/>
      <c r="AR9" s="58"/>
      <c r="AS9" s="58"/>
      <c r="AT9" s="74"/>
    </row>
    <row r="10">
      <c r="A10" s="33" t="str">
        <f t="shared" si="2"/>
        <v>E911</v>
      </c>
      <c r="B10" s="34" t="str">
        <f>IFERROR(__xludf.DUMMYFUNCTION("REGEXREPLACE($N10, ""(?i)^8301(E000|E100|E200|E300)?"", """")"),"E911002F0F444F58F44882D146090DD06519B0")</f>
        <v>E911002F0F444F58F44882D146090DD06519B0</v>
      </c>
      <c r="C10" s="36" t="s">
        <v>14</v>
      </c>
      <c r="D10" s="36" t="s">
        <v>63</v>
      </c>
      <c r="E10" s="36" t="s">
        <v>115</v>
      </c>
      <c r="F10" s="36">
        <v>5.0</v>
      </c>
      <c r="G10" s="36" t="s">
        <v>116</v>
      </c>
      <c r="H10" s="36"/>
      <c r="I10" s="36"/>
      <c r="J10" s="36"/>
      <c r="K10" s="36" t="s">
        <v>75</v>
      </c>
      <c r="L10" s="36" t="s">
        <v>76</v>
      </c>
      <c r="M10" s="37">
        <v>46208.0</v>
      </c>
      <c r="N10" s="38" t="s">
        <v>266</v>
      </c>
      <c r="O10" s="36"/>
      <c r="P10" s="39" t="str">
        <f t="shared" si="3"/>
        <v>0x11</v>
      </c>
      <c r="Q10" s="40" t="str">
        <f t="shared" si="4"/>
        <v>0x00</v>
      </c>
      <c r="R10" s="40" t="str">
        <f t="shared" si="5"/>
        <v>0x2F</v>
      </c>
      <c r="S10" s="77">
        <v>2.0</v>
      </c>
      <c r="T10" s="78" t="str">
        <f t="shared" si="6"/>
        <v>0x0F</v>
      </c>
      <c r="U10" s="72" t="str">
        <f t="shared" si="7"/>
        <v>0x44</v>
      </c>
      <c r="V10" s="72" t="str">
        <f t="shared" si="8"/>
        <v>0x4F</v>
      </c>
      <c r="W10" s="79"/>
      <c r="X10" s="80"/>
      <c r="Y10" s="79"/>
      <c r="Z10" s="79"/>
      <c r="AA10" s="79"/>
      <c r="AB10" s="81">
        <v>15.0</v>
      </c>
      <c r="AC10" s="40" t="str">
        <f t="shared" ref="AC10:AM10" si="21">"0x" &amp; MID($B10,$AB10  + 2*(COLUMN() - COLUMN($AC10)), 2)</f>
        <v>0x58</v>
      </c>
      <c r="AD10" s="40" t="str">
        <f t="shared" si="21"/>
        <v>0xF4</v>
      </c>
      <c r="AE10" s="40" t="str">
        <f t="shared" si="21"/>
        <v>0x48</v>
      </c>
      <c r="AF10" s="40" t="str">
        <f t="shared" si="21"/>
        <v>0x82</v>
      </c>
      <c r="AG10" s="40" t="str">
        <f t="shared" si="21"/>
        <v>0xD1</v>
      </c>
      <c r="AH10" s="40" t="str">
        <f t="shared" si="21"/>
        <v>0x46</v>
      </c>
      <c r="AI10" s="40" t="str">
        <f t="shared" si="21"/>
        <v>0x09</v>
      </c>
      <c r="AJ10" s="40" t="str">
        <f t="shared" si="21"/>
        <v>0x0D</v>
      </c>
      <c r="AK10" s="40" t="str">
        <f t="shared" si="21"/>
        <v>0xD0</v>
      </c>
      <c r="AL10" s="40" t="str">
        <f t="shared" si="21"/>
        <v>0x65</v>
      </c>
      <c r="AM10" s="40" t="str">
        <f t="shared" si="21"/>
        <v>0x19</v>
      </c>
      <c r="AN10" s="40"/>
      <c r="AO10" s="40"/>
      <c r="AP10" s="40"/>
      <c r="AQ10" s="40"/>
      <c r="AR10" s="40"/>
      <c r="AS10" s="40"/>
      <c r="AT10" s="64" t="str">
        <f t="shared" ref="AT10:AT11" si="23">"0x"&amp;MID($B10,37,2)</f>
        <v>0xB0</v>
      </c>
    </row>
    <row r="11">
      <c r="A11" s="51" t="str">
        <f t="shared" si="2"/>
        <v>E911</v>
      </c>
      <c r="B11" s="52" t="str">
        <f>IFERROR(__xludf.DUMMYFUNCTION("REGEXREPLACE($N11, ""(?i)^8301(E000|E100|E200|E300)?"", """")"),"E911006F0F404B58F44882D146020CD06519B0")</f>
        <v>E911006F0F404B58F44882D146020CD06519B0</v>
      </c>
      <c r="C11" s="65" t="s">
        <v>14</v>
      </c>
      <c r="D11" s="65" t="s">
        <v>283</v>
      </c>
      <c r="E11" s="65" t="s">
        <v>115</v>
      </c>
      <c r="F11" s="65">
        <v>5.0</v>
      </c>
      <c r="G11" s="65" t="s">
        <v>116</v>
      </c>
      <c r="H11" s="65" t="s">
        <v>249</v>
      </c>
      <c r="I11" s="65"/>
      <c r="J11" s="65" t="s">
        <v>251</v>
      </c>
      <c r="K11" s="65" t="s">
        <v>75</v>
      </c>
      <c r="L11" s="65" t="s">
        <v>76</v>
      </c>
      <c r="M11" s="67">
        <v>46208.0</v>
      </c>
      <c r="N11" s="68" t="s">
        <v>286</v>
      </c>
      <c r="O11" s="65"/>
      <c r="P11" s="57" t="str">
        <f t="shared" si="3"/>
        <v>0x11</v>
      </c>
      <c r="Q11" s="58" t="str">
        <f t="shared" si="4"/>
        <v>0x00</v>
      </c>
      <c r="R11" s="58" t="str">
        <f t="shared" si="5"/>
        <v>0x6F</v>
      </c>
      <c r="S11" s="82">
        <v>2.0</v>
      </c>
      <c r="T11" s="83" t="str">
        <f t="shared" si="6"/>
        <v>0x0F</v>
      </c>
      <c r="U11" s="84" t="str">
        <f t="shared" si="7"/>
        <v>0x40</v>
      </c>
      <c r="V11" s="84" t="str">
        <f t="shared" si="8"/>
        <v>0x4B</v>
      </c>
      <c r="W11" s="85"/>
      <c r="X11" s="86"/>
      <c r="Y11" s="85"/>
      <c r="Z11" s="85"/>
      <c r="AA11" s="85"/>
      <c r="AB11" s="87">
        <v>15.0</v>
      </c>
      <c r="AC11" s="58" t="str">
        <f t="shared" ref="AC11:AM11" si="22">"0x" &amp; MID($B11,$AB11  + 2*(COLUMN() - COLUMN($AC11)), 2)</f>
        <v>0x58</v>
      </c>
      <c r="AD11" s="58" t="str">
        <f t="shared" si="22"/>
        <v>0xF4</v>
      </c>
      <c r="AE11" s="58" t="str">
        <f t="shared" si="22"/>
        <v>0x48</v>
      </c>
      <c r="AF11" s="58" t="str">
        <f t="shared" si="22"/>
        <v>0x82</v>
      </c>
      <c r="AG11" s="58" t="str">
        <f t="shared" si="22"/>
        <v>0xD1</v>
      </c>
      <c r="AH11" s="58" t="str">
        <f t="shared" si="22"/>
        <v>0x46</v>
      </c>
      <c r="AI11" s="58" t="str">
        <f t="shared" si="22"/>
        <v>0x02</v>
      </c>
      <c r="AJ11" s="58" t="str">
        <f t="shared" si="22"/>
        <v>0x0C</v>
      </c>
      <c r="AK11" s="58" t="str">
        <f t="shared" si="22"/>
        <v>0xD0</v>
      </c>
      <c r="AL11" s="58" t="str">
        <f t="shared" si="22"/>
        <v>0x65</v>
      </c>
      <c r="AM11" s="58" t="str">
        <f t="shared" si="22"/>
        <v>0x19</v>
      </c>
      <c r="AN11" s="58"/>
      <c r="AO11" s="58"/>
      <c r="AP11" s="58"/>
      <c r="AQ11" s="58"/>
      <c r="AR11" s="58"/>
      <c r="AS11" s="58"/>
      <c r="AT11" s="74" t="str">
        <f t="shared" si="23"/>
        <v>0xB0</v>
      </c>
    </row>
    <row r="12" hidden="1">
      <c r="A12" s="33" t="str">
        <f t="shared" si="2"/>
        <v>E911</v>
      </c>
      <c r="B12" s="34" t="str">
        <f>IFERROR(__xludf.DUMMYFUNCTION("REGEXREPLACE($N12, ""(?i)^8301(E000|E100|E200|E300)?"", """")"),"E911001F0FB2B2B2BDBD30D037F4D246006464")</f>
        <v>E911001F0FB2B2B2BDBD30D037F4D246006464</v>
      </c>
      <c r="C12" s="36" t="s">
        <v>14</v>
      </c>
      <c r="D12" s="36" t="s">
        <v>118</v>
      </c>
      <c r="E12" s="36" t="s">
        <v>115</v>
      </c>
      <c r="F12" s="36">
        <v>10.0</v>
      </c>
      <c r="G12" s="36" t="s">
        <v>167</v>
      </c>
      <c r="H12" s="36" t="s">
        <v>118</v>
      </c>
      <c r="I12" s="36"/>
      <c r="J12" s="36" t="s">
        <v>119</v>
      </c>
      <c r="K12" s="36" t="s">
        <v>106</v>
      </c>
      <c r="L12" s="36" t="s">
        <v>107</v>
      </c>
      <c r="M12" s="37">
        <v>46220.0</v>
      </c>
      <c r="N12" s="38" t="s">
        <v>306</v>
      </c>
      <c r="O12" s="36"/>
      <c r="P12" s="39" t="str">
        <f t="shared" si="3"/>
        <v>0x11</v>
      </c>
      <c r="Q12" s="40" t="str">
        <f t="shared" si="4"/>
        <v>0x00</v>
      </c>
      <c r="R12" s="40" t="str">
        <f t="shared" si="5"/>
        <v>0x1F</v>
      </c>
      <c r="S12" s="42">
        <v>5.0</v>
      </c>
      <c r="T12" s="42" t="str">
        <f t="shared" si="6"/>
        <v>0x0F</v>
      </c>
      <c r="U12" s="48" t="str">
        <f t="shared" si="7"/>
        <v>0xB2</v>
      </c>
      <c r="V12" s="48" t="str">
        <f t="shared" si="8"/>
        <v>0xB2</v>
      </c>
      <c r="W12" s="48" t="str">
        <f>"0x"&amp;MID($B12,15,2)</f>
        <v>0xB2</v>
      </c>
      <c r="X12" s="42"/>
      <c r="Y12" s="48" t="str">
        <f>"0x"&amp;MID($B12,17,2)</f>
        <v>0xBD</v>
      </c>
      <c r="Z12" s="48" t="str">
        <f>"0x"&amp;MID($B12,19,2)</f>
        <v>0xBD</v>
      </c>
      <c r="AA12" s="48"/>
      <c r="AB12" s="40">
        <v>21.0</v>
      </c>
      <c r="AC12" s="40" t="str">
        <f t="shared" ref="AC12:AK12" si="24">"0x" &amp; MID($B12,$AB12  + 2*(COLUMN() - COLUMN($AC12)), 2)</f>
        <v>0x30</v>
      </c>
      <c r="AD12" s="40" t="str">
        <f t="shared" si="24"/>
        <v>0xD0</v>
      </c>
      <c r="AE12" s="40" t="str">
        <f t="shared" si="24"/>
        <v>0x37</v>
      </c>
      <c r="AF12" s="40" t="str">
        <f t="shared" si="24"/>
        <v>0xF4</v>
      </c>
      <c r="AG12" s="40" t="str">
        <f t="shared" si="24"/>
        <v>0xD2</v>
      </c>
      <c r="AH12" s="40" t="str">
        <f t="shared" si="24"/>
        <v>0x46</v>
      </c>
      <c r="AI12" s="40" t="str">
        <f t="shared" si="24"/>
        <v>0x00</v>
      </c>
      <c r="AJ12" s="40" t="str">
        <f t="shared" si="24"/>
        <v>0x64</v>
      </c>
      <c r="AK12" s="40" t="str">
        <f t="shared" si="24"/>
        <v>0x64</v>
      </c>
      <c r="AL12" s="40"/>
      <c r="AM12" s="40"/>
      <c r="AN12" s="40"/>
      <c r="AO12" s="40"/>
      <c r="AP12" s="40"/>
      <c r="AQ12" s="40"/>
      <c r="AR12" s="40"/>
      <c r="AS12" s="40"/>
      <c r="AT12" s="75"/>
    </row>
    <row r="13">
      <c r="A13" s="51" t="str">
        <f>IFERROR(__xludf.DUMMYFUNCTION("LEFT(REGEXREPLACE($N13, ""(?i)^8301(E000|E100|E200|E300)?"", """"), 4)"),"E913")</f>
        <v>E913</v>
      </c>
      <c r="B13" s="52" t="str">
        <f>IFERROR(__xludf.DUMMYFUNCTION("REGEXREPLACE($N13, ""(?i)^8301(E000|E100|E200|E300)?"", """")"),"E91300080F5D5C58F44882D065FCD14602FA307B00")</f>
        <v>E91300080F5D5C58F44882D065FCD14602FA307B00</v>
      </c>
      <c r="C13" s="65" t="s">
        <v>14</v>
      </c>
      <c r="D13" s="65" t="s">
        <v>323</v>
      </c>
      <c r="E13" s="65" t="s">
        <v>115</v>
      </c>
      <c r="F13" s="65">
        <v>5.0</v>
      </c>
      <c r="G13" s="65" t="s">
        <v>116</v>
      </c>
      <c r="H13" s="65" t="s">
        <v>118</v>
      </c>
      <c r="I13" s="65"/>
      <c r="J13" s="65" t="s">
        <v>251</v>
      </c>
      <c r="K13" s="65" t="s">
        <v>106</v>
      </c>
      <c r="L13" s="65" t="s">
        <v>107</v>
      </c>
      <c r="M13" s="67">
        <v>46220.0</v>
      </c>
      <c r="N13" s="68" t="s">
        <v>326</v>
      </c>
      <c r="O13" s="65"/>
      <c r="P13" s="57" t="str">
        <f t="shared" si="3"/>
        <v>0x13</v>
      </c>
      <c r="Q13" s="58" t="str">
        <f t="shared" si="4"/>
        <v>0x00</v>
      </c>
      <c r="R13" s="58" t="str">
        <f t="shared" si="5"/>
        <v>0x08</v>
      </c>
      <c r="S13" s="82">
        <v>2.0</v>
      </c>
      <c r="T13" s="83" t="str">
        <f t="shared" si="6"/>
        <v>0x0F</v>
      </c>
      <c r="U13" s="84" t="str">
        <f t="shared" si="7"/>
        <v>0x5D</v>
      </c>
      <c r="V13" s="84" t="str">
        <f t="shared" si="8"/>
        <v>0x5C</v>
      </c>
      <c r="W13" s="85"/>
      <c r="X13" s="86"/>
      <c r="Y13" s="85"/>
      <c r="Z13" s="85"/>
      <c r="AA13" s="85"/>
      <c r="AB13" s="87">
        <v>15.0</v>
      </c>
      <c r="AC13" s="58" t="str">
        <f t="shared" ref="AC13:AP13" si="25">"0x" &amp; MID($B13,$AB13  + 2*(COLUMN() - COLUMN($AC13)), 2)</f>
        <v>0x58</v>
      </c>
      <c r="AD13" s="58" t="str">
        <f t="shared" si="25"/>
        <v>0xF4</v>
      </c>
      <c r="AE13" s="58" t="str">
        <f t="shared" si="25"/>
        <v>0x48</v>
      </c>
      <c r="AF13" s="58" t="str">
        <f t="shared" si="25"/>
        <v>0x82</v>
      </c>
      <c r="AG13" s="58" t="str">
        <f t="shared" si="25"/>
        <v>0xD0</v>
      </c>
      <c r="AH13" s="58" t="str">
        <f t="shared" si="25"/>
        <v>0x65</v>
      </c>
      <c r="AI13" s="58" t="str">
        <f t="shared" si="25"/>
        <v>0xFC</v>
      </c>
      <c r="AJ13" s="58" t="str">
        <f t="shared" si="25"/>
        <v>0xD1</v>
      </c>
      <c r="AK13" s="58" t="str">
        <f t="shared" si="25"/>
        <v>0x46</v>
      </c>
      <c r="AL13" s="58" t="str">
        <f t="shared" si="25"/>
        <v>0x02</v>
      </c>
      <c r="AM13" s="58" t="str">
        <f t="shared" si="25"/>
        <v>0xFA</v>
      </c>
      <c r="AN13" s="58" t="str">
        <f t="shared" si="25"/>
        <v>0x30</v>
      </c>
      <c r="AO13" s="58" t="str">
        <f t="shared" si="25"/>
        <v>0x7B</v>
      </c>
      <c r="AP13" s="58" t="str">
        <f t="shared" si="25"/>
        <v>0x00</v>
      </c>
      <c r="AQ13" s="58"/>
      <c r="AR13" s="58"/>
      <c r="AS13" s="58"/>
      <c r="AT13" s="88"/>
    </row>
    <row r="14">
      <c r="A14" s="33" t="str">
        <f t="shared" ref="A14:A24" si="27">LEFT($B14, 4)</f>
        <v>E913</v>
      </c>
      <c r="B14" s="34" t="str">
        <f>IFERROR(__xludf.DUMMYFUNCTION("REGEXREPLACE($N14, ""(?i)^8301(E000|E100|E200|E300)?"", """")"),"E91300520F5D4458F44882D0650AD14602C8307B00")</f>
        <v>E91300520F5D4458F44882D0650AD14602C8307B00</v>
      </c>
      <c r="C14" s="36" t="s">
        <v>14</v>
      </c>
      <c r="D14" s="36" t="s">
        <v>342</v>
      </c>
      <c r="E14" s="36" t="s">
        <v>115</v>
      </c>
      <c r="F14" s="36">
        <v>9.0</v>
      </c>
      <c r="G14" s="36" t="s">
        <v>167</v>
      </c>
      <c r="H14" s="36" t="s">
        <v>118</v>
      </c>
      <c r="I14" s="36"/>
      <c r="J14" s="36" t="s">
        <v>251</v>
      </c>
      <c r="K14" s="36" t="s">
        <v>106</v>
      </c>
      <c r="L14" s="36" t="s">
        <v>107</v>
      </c>
      <c r="M14" s="37">
        <v>46220.0</v>
      </c>
      <c r="N14" s="38" t="s">
        <v>346</v>
      </c>
      <c r="O14" s="36"/>
      <c r="P14" s="39" t="str">
        <f t="shared" si="3"/>
        <v>0x13</v>
      </c>
      <c r="Q14" s="40" t="str">
        <f t="shared" si="4"/>
        <v>0x00</v>
      </c>
      <c r="R14" s="40" t="str">
        <f t="shared" si="5"/>
        <v>0x52</v>
      </c>
      <c r="S14" s="77">
        <v>2.0</v>
      </c>
      <c r="T14" s="78" t="str">
        <f t="shared" si="6"/>
        <v>0x0F</v>
      </c>
      <c r="U14" s="72" t="str">
        <f t="shared" si="7"/>
        <v>0x5D</v>
      </c>
      <c r="V14" s="72" t="str">
        <f t="shared" si="8"/>
        <v>0x44</v>
      </c>
      <c r="W14" s="79"/>
      <c r="X14" s="80"/>
      <c r="Y14" s="79"/>
      <c r="Z14" s="79"/>
      <c r="AA14" s="79"/>
      <c r="AB14" s="81">
        <v>15.0</v>
      </c>
      <c r="AC14" s="40" t="str">
        <f t="shared" ref="AC14:AP14" si="26">"0x" &amp; MID($B14,$AB14  + 2*(COLUMN() - COLUMN($AC14)), 2)</f>
        <v>0x58</v>
      </c>
      <c r="AD14" s="40" t="str">
        <f t="shared" si="26"/>
        <v>0xF4</v>
      </c>
      <c r="AE14" s="40" t="str">
        <f t="shared" si="26"/>
        <v>0x48</v>
      </c>
      <c r="AF14" s="40" t="str">
        <f t="shared" si="26"/>
        <v>0x82</v>
      </c>
      <c r="AG14" s="40" t="str">
        <f t="shared" si="26"/>
        <v>0xD0</v>
      </c>
      <c r="AH14" s="40" t="str">
        <f t="shared" si="26"/>
        <v>0x65</v>
      </c>
      <c r="AI14" s="40" t="str">
        <f t="shared" si="26"/>
        <v>0x0A</v>
      </c>
      <c r="AJ14" s="40" t="str">
        <f t="shared" si="26"/>
        <v>0xD1</v>
      </c>
      <c r="AK14" s="40" t="str">
        <f t="shared" si="26"/>
        <v>0x46</v>
      </c>
      <c r="AL14" s="40" t="str">
        <f t="shared" si="26"/>
        <v>0x02</v>
      </c>
      <c r="AM14" s="40" t="str">
        <f t="shared" si="26"/>
        <v>0xC8</v>
      </c>
      <c r="AN14" s="40" t="str">
        <f t="shared" si="26"/>
        <v>0x30</v>
      </c>
      <c r="AO14" s="40" t="str">
        <f t="shared" si="26"/>
        <v>0x7B</v>
      </c>
      <c r="AP14" s="40" t="str">
        <f t="shared" si="26"/>
        <v>0x00</v>
      </c>
      <c r="AQ14" s="40"/>
      <c r="AR14" s="40"/>
      <c r="AS14" s="40"/>
      <c r="AT14" s="75"/>
    </row>
    <row r="15" hidden="1">
      <c r="A15" s="51" t="str">
        <f t="shared" si="27"/>
        <v>E911</v>
      </c>
      <c r="B15" s="52" t="str">
        <f>IFERROR(__xludf.DUMMYFUNCTION("REGEXREPLACE($N15, ""(?i)^8301(E000|E100|E200|E300)?"", """")"),"E91100C10FA2B2B9ACB530D037F4D246001978")</f>
        <v>E91100C10FA2B2B9ACB530D037F4D246001978</v>
      </c>
      <c r="C15" s="65" t="s">
        <v>14</v>
      </c>
      <c r="D15" s="65" t="s">
        <v>118</v>
      </c>
      <c r="E15" s="65" t="s">
        <v>115</v>
      </c>
      <c r="F15" s="65">
        <v>10.0</v>
      </c>
      <c r="G15" s="65" t="s">
        <v>167</v>
      </c>
      <c r="H15" s="65" t="s">
        <v>118</v>
      </c>
      <c r="I15" s="65"/>
      <c r="J15" s="65" t="s">
        <v>119</v>
      </c>
      <c r="K15" s="65" t="s">
        <v>106</v>
      </c>
      <c r="L15" s="65" t="s">
        <v>107</v>
      </c>
      <c r="M15" s="67">
        <v>46220.0</v>
      </c>
      <c r="N15" s="68" t="s">
        <v>310</v>
      </c>
      <c r="O15" s="65"/>
      <c r="P15" s="57" t="str">
        <f t="shared" si="3"/>
        <v>0x11</v>
      </c>
      <c r="Q15" s="58" t="str">
        <f t="shared" si="4"/>
        <v>0x00</v>
      </c>
      <c r="R15" s="58" t="str">
        <f t="shared" si="5"/>
        <v>0xC1</v>
      </c>
      <c r="S15" s="59">
        <v>5.0</v>
      </c>
      <c r="T15" s="59" t="str">
        <f t="shared" si="6"/>
        <v>0x0F</v>
      </c>
      <c r="U15" s="71" t="str">
        <f t="shared" si="7"/>
        <v>0xA2</v>
      </c>
      <c r="V15" s="71" t="str">
        <f t="shared" si="8"/>
        <v>0xB2</v>
      </c>
      <c r="W15" s="71" t="str">
        <f t="shared" ref="W15:W21" si="29">"0x"&amp;MID($B15,15,2)</f>
        <v>0xB9</v>
      </c>
      <c r="X15" s="59"/>
      <c r="Y15" s="71" t="str">
        <f t="shared" ref="Y15:Y21" si="30">"0x"&amp;MID($B15,17,2)</f>
        <v>0xAC</v>
      </c>
      <c r="Z15" s="71" t="str">
        <f t="shared" ref="Z15:Z21" si="31">"0x"&amp;MID($B15,19,2)</f>
        <v>0xB5</v>
      </c>
      <c r="AA15" s="71"/>
      <c r="AB15" s="58">
        <v>21.0</v>
      </c>
      <c r="AC15" s="58" t="str">
        <f t="shared" ref="AC15:AK15" si="28">"0x" &amp; MID($B15,$AB15  + 2*(COLUMN() - COLUMN($AC15)), 2)</f>
        <v>0x30</v>
      </c>
      <c r="AD15" s="58" t="str">
        <f t="shared" si="28"/>
        <v>0xD0</v>
      </c>
      <c r="AE15" s="58" t="str">
        <f t="shared" si="28"/>
        <v>0x37</v>
      </c>
      <c r="AF15" s="58" t="str">
        <f t="shared" si="28"/>
        <v>0xF4</v>
      </c>
      <c r="AG15" s="58" t="str">
        <f t="shared" si="28"/>
        <v>0xD2</v>
      </c>
      <c r="AH15" s="58" t="str">
        <f t="shared" si="28"/>
        <v>0x46</v>
      </c>
      <c r="AI15" s="58" t="str">
        <f t="shared" si="28"/>
        <v>0x00</v>
      </c>
      <c r="AJ15" s="58" t="str">
        <f t="shared" si="28"/>
        <v>0x19</v>
      </c>
      <c r="AK15" s="58" t="str">
        <f t="shared" si="28"/>
        <v>0x78</v>
      </c>
      <c r="AL15" s="58"/>
      <c r="AM15" s="58"/>
      <c r="AN15" s="58"/>
      <c r="AO15" s="58"/>
      <c r="AP15" s="58"/>
      <c r="AQ15" s="58"/>
      <c r="AR15" s="58"/>
      <c r="AS15" s="58"/>
      <c r="AT15" s="88"/>
    </row>
    <row r="16" hidden="1">
      <c r="A16" s="33" t="str">
        <f t="shared" si="27"/>
        <v>E912</v>
      </c>
      <c r="B16" s="34" t="str">
        <f>IFERROR(__xludf.DUMMYFUNCTION("REGEXREPLACE($N16, ""(?i)^8301(E000|E100|E200|E300)?"", """")"),"E91200010FBCBDBDBDBD30D037F4D2460000FCBB")</f>
        <v>E91200010FBCBDBDBDBD30D037F4D2460000FCBB</v>
      </c>
      <c r="C16" s="36" t="s">
        <v>14</v>
      </c>
      <c r="D16" s="36" t="s">
        <v>118</v>
      </c>
      <c r="E16" s="36" t="s">
        <v>115</v>
      </c>
      <c r="F16" s="36">
        <v>10.0</v>
      </c>
      <c r="G16" s="36" t="s">
        <v>167</v>
      </c>
      <c r="H16" s="36" t="s">
        <v>118</v>
      </c>
      <c r="I16" s="36"/>
      <c r="J16" s="36" t="s">
        <v>119</v>
      </c>
      <c r="K16" s="36" t="s">
        <v>129</v>
      </c>
      <c r="L16" s="41" t="s">
        <v>130</v>
      </c>
      <c r="M16" s="37">
        <v>46240.0</v>
      </c>
      <c r="N16" s="44" t="s">
        <v>268</v>
      </c>
      <c r="O16" s="36"/>
      <c r="P16" s="39" t="str">
        <f t="shared" si="3"/>
        <v>0x12</v>
      </c>
      <c r="Q16" s="40" t="str">
        <f t="shared" si="4"/>
        <v>0x00</v>
      </c>
      <c r="R16" s="40" t="str">
        <f t="shared" si="5"/>
        <v>0x01</v>
      </c>
      <c r="S16" s="42">
        <v>5.0</v>
      </c>
      <c r="T16" s="42" t="str">
        <f t="shared" si="6"/>
        <v>0x0F</v>
      </c>
      <c r="U16" s="48" t="str">
        <f t="shared" si="7"/>
        <v>0xBC</v>
      </c>
      <c r="V16" s="48" t="str">
        <f t="shared" si="8"/>
        <v>0xBD</v>
      </c>
      <c r="W16" s="48" t="str">
        <f t="shared" si="29"/>
        <v>0xBD</v>
      </c>
      <c r="X16" s="42"/>
      <c r="Y16" s="48" t="str">
        <f t="shared" si="30"/>
        <v>0xBD</v>
      </c>
      <c r="Z16" s="48" t="str">
        <f t="shared" si="31"/>
        <v>0xBD</v>
      </c>
      <c r="AA16" s="48"/>
      <c r="AB16" s="40">
        <v>21.0</v>
      </c>
      <c r="AC16" s="40" t="str">
        <f t="shared" ref="AC16:AK16" si="32">"0x" &amp; MID($B16,$AB16  + 2*(COLUMN() - COLUMN($AC16)), 2)</f>
        <v>0x30</v>
      </c>
      <c r="AD16" s="40" t="str">
        <f t="shared" si="32"/>
        <v>0xD0</v>
      </c>
      <c r="AE16" s="40" t="str">
        <f t="shared" si="32"/>
        <v>0x37</v>
      </c>
      <c r="AF16" s="40" t="str">
        <f t="shared" si="32"/>
        <v>0xF4</v>
      </c>
      <c r="AG16" s="40" t="str">
        <f t="shared" si="32"/>
        <v>0xD2</v>
      </c>
      <c r="AH16" s="40" t="str">
        <f t="shared" si="32"/>
        <v>0x46</v>
      </c>
      <c r="AI16" s="40" t="str">
        <f t="shared" si="32"/>
        <v>0x00</v>
      </c>
      <c r="AJ16" s="40" t="str">
        <f t="shared" si="32"/>
        <v>0x00</v>
      </c>
      <c r="AK16" s="40" t="str">
        <f t="shared" si="32"/>
        <v>0xFC</v>
      </c>
      <c r="AL16" s="40"/>
      <c r="AM16" s="40"/>
      <c r="AN16" s="40"/>
      <c r="AO16" s="40"/>
      <c r="AP16" s="40"/>
      <c r="AQ16" s="40"/>
      <c r="AR16" s="40"/>
      <c r="AS16" s="40"/>
      <c r="AT16" s="64" t="str">
        <f t="shared" ref="AT16:AT21" si="34">"0x"&amp;MID($B16,39,2)</f>
        <v>0xBB</v>
      </c>
    </row>
    <row r="17" hidden="1">
      <c r="A17" s="51" t="str">
        <f t="shared" si="27"/>
        <v>E912</v>
      </c>
      <c r="B17" s="52" t="str">
        <f>IFERROR(__xludf.DUMMYFUNCTION("REGEXREPLACE($N17, ""(?i)^8301(E000|E100|E200|E300)?"", """")"),"E912001F0FBDBDBDBCBC30D037F4D246000064B0")</f>
        <v>E912001F0FBDBDBDBCBC30D037F4D246000064B0</v>
      </c>
      <c r="C17" s="65" t="s">
        <v>14</v>
      </c>
      <c r="D17" s="65" t="s">
        <v>118</v>
      </c>
      <c r="E17" s="65" t="s">
        <v>115</v>
      </c>
      <c r="F17" s="65">
        <v>10.0</v>
      </c>
      <c r="G17" s="65" t="s">
        <v>167</v>
      </c>
      <c r="H17" s="65" t="s">
        <v>118</v>
      </c>
      <c r="I17" s="65"/>
      <c r="J17" s="65" t="s">
        <v>119</v>
      </c>
      <c r="K17" s="65" t="s">
        <v>75</v>
      </c>
      <c r="L17" s="65" t="s">
        <v>76</v>
      </c>
      <c r="M17" s="67">
        <v>46228.0</v>
      </c>
      <c r="N17" s="68" t="s">
        <v>253</v>
      </c>
      <c r="O17" s="65"/>
      <c r="P17" s="57" t="str">
        <f t="shared" si="3"/>
        <v>0x12</v>
      </c>
      <c r="Q17" s="58" t="str">
        <f t="shared" si="4"/>
        <v>0x00</v>
      </c>
      <c r="R17" s="58" t="str">
        <f t="shared" si="5"/>
        <v>0x1F</v>
      </c>
      <c r="S17" s="59">
        <v>5.0</v>
      </c>
      <c r="T17" s="59" t="str">
        <f t="shared" si="6"/>
        <v>0x0F</v>
      </c>
      <c r="U17" s="71" t="str">
        <f t="shared" si="7"/>
        <v>0xBD</v>
      </c>
      <c r="V17" s="71" t="str">
        <f t="shared" si="8"/>
        <v>0xBD</v>
      </c>
      <c r="W17" s="71" t="str">
        <f t="shared" si="29"/>
        <v>0xBD</v>
      </c>
      <c r="X17" s="59"/>
      <c r="Y17" s="71" t="str">
        <f t="shared" si="30"/>
        <v>0xBC</v>
      </c>
      <c r="Z17" s="71" t="str">
        <f t="shared" si="31"/>
        <v>0xBC</v>
      </c>
      <c r="AA17" s="71"/>
      <c r="AB17" s="58">
        <v>21.0</v>
      </c>
      <c r="AC17" s="58" t="str">
        <f t="shared" ref="AC17:AK17" si="33">"0x" &amp; MID($B17,$AB17  + 2*(COLUMN() - COLUMN($AC17)), 2)</f>
        <v>0x30</v>
      </c>
      <c r="AD17" s="58" t="str">
        <f t="shared" si="33"/>
        <v>0xD0</v>
      </c>
      <c r="AE17" s="58" t="str">
        <f t="shared" si="33"/>
        <v>0x37</v>
      </c>
      <c r="AF17" s="58" t="str">
        <f t="shared" si="33"/>
        <v>0xF4</v>
      </c>
      <c r="AG17" s="58" t="str">
        <f t="shared" si="33"/>
        <v>0xD2</v>
      </c>
      <c r="AH17" s="58" t="str">
        <f t="shared" si="33"/>
        <v>0x46</v>
      </c>
      <c r="AI17" s="58" t="str">
        <f t="shared" si="33"/>
        <v>0x00</v>
      </c>
      <c r="AJ17" s="58" t="str">
        <f t="shared" si="33"/>
        <v>0x00</v>
      </c>
      <c r="AK17" s="58" t="str">
        <f t="shared" si="33"/>
        <v>0x64</v>
      </c>
      <c r="AL17" s="58"/>
      <c r="AM17" s="58"/>
      <c r="AN17" s="58"/>
      <c r="AO17" s="58"/>
      <c r="AP17" s="58"/>
      <c r="AQ17" s="58"/>
      <c r="AR17" s="58"/>
      <c r="AS17" s="58"/>
      <c r="AT17" s="74" t="str">
        <f t="shared" si="34"/>
        <v>0xB0</v>
      </c>
    </row>
    <row r="18" hidden="1">
      <c r="A18" s="33" t="str">
        <f t="shared" si="27"/>
        <v>E912</v>
      </c>
      <c r="B18" s="34" t="str">
        <f>IFERROR(__xludf.DUMMYFUNCTION("REGEXREPLACE($N18, ""(?i)^8301(E000|E100|E200|E300)?"", """")"),"E91200480FBBB5A4B5A430D037F4D246001340B0")</f>
        <v>E91200480FBBB5A4B5A430D037F4D246001340B0</v>
      </c>
      <c r="C18" s="36" t="s">
        <v>14</v>
      </c>
      <c r="D18" s="36" t="s">
        <v>118</v>
      </c>
      <c r="E18" s="36" t="s">
        <v>115</v>
      </c>
      <c r="F18" s="36">
        <v>10.0</v>
      </c>
      <c r="G18" s="36" t="s">
        <v>167</v>
      </c>
      <c r="H18" s="36" t="s">
        <v>118</v>
      </c>
      <c r="I18" s="36"/>
      <c r="J18" s="36" t="s">
        <v>119</v>
      </c>
      <c r="K18" s="36" t="s">
        <v>129</v>
      </c>
      <c r="L18" s="36" t="s">
        <v>137</v>
      </c>
      <c r="M18" s="37">
        <v>46207.0</v>
      </c>
      <c r="N18" s="44" t="s">
        <v>294</v>
      </c>
      <c r="O18" s="36"/>
      <c r="P18" s="39" t="str">
        <f t="shared" si="3"/>
        <v>0x12</v>
      </c>
      <c r="Q18" s="40" t="str">
        <f t="shared" si="4"/>
        <v>0x00</v>
      </c>
      <c r="R18" s="40" t="str">
        <f t="shared" si="5"/>
        <v>0x48</v>
      </c>
      <c r="S18" s="42">
        <v>5.0</v>
      </c>
      <c r="T18" s="42" t="str">
        <f t="shared" si="6"/>
        <v>0x0F</v>
      </c>
      <c r="U18" s="48" t="str">
        <f t="shared" si="7"/>
        <v>0xBB</v>
      </c>
      <c r="V18" s="48" t="str">
        <f t="shared" si="8"/>
        <v>0xB5</v>
      </c>
      <c r="W18" s="48" t="str">
        <f t="shared" si="29"/>
        <v>0xA4</v>
      </c>
      <c r="X18" s="42"/>
      <c r="Y18" s="48" t="str">
        <f t="shared" si="30"/>
        <v>0xB5</v>
      </c>
      <c r="Z18" s="48" t="str">
        <f t="shared" si="31"/>
        <v>0xA4</v>
      </c>
      <c r="AA18" s="48"/>
      <c r="AB18" s="40">
        <v>21.0</v>
      </c>
      <c r="AC18" s="40" t="str">
        <f t="shared" ref="AC18:AK18" si="35">"0x" &amp; MID($B18,$AB18  + 2*(COLUMN() - COLUMN($AC18)), 2)</f>
        <v>0x30</v>
      </c>
      <c r="AD18" s="40" t="str">
        <f t="shared" si="35"/>
        <v>0xD0</v>
      </c>
      <c r="AE18" s="40" t="str">
        <f t="shared" si="35"/>
        <v>0x37</v>
      </c>
      <c r="AF18" s="40" t="str">
        <f t="shared" si="35"/>
        <v>0xF4</v>
      </c>
      <c r="AG18" s="40" t="str">
        <f t="shared" si="35"/>
        <v>0xD2</v>
      </c>
      <c r="AH18" s="40" t="str">
        <f t="shared" si="35"/>
        <v>0x46</v>
      </c>
      <c r="AI18" s="40" t="str">
        <f t="shared" si="35"/>
        <v>0x00</v>
      </c>
      <c r="AJ18" s="40" t="str">
        <f t="shared" si="35"/>
        <v>0x13</v>
      </c>
      <c r="AK18" s="40" t="str">
        <f t="shared" si="35"/>
        <v>0x40</v>
      </c>
      <c r="AL18" s="40"/>
      <c r="AM18" s="40"/>
      <c r="AN18" s="40"/>
      <c r="AO18" s="40"/>
      <c r="AP18" s="40"/>
      <c r="AQ18" s="40"/>
      <c r="AR18" s="40"/>
      <c r="AS18" s="40"/>
      <c r="AT18" s="64" t="str">
        <f t="shared" si="34"/>
        <v>0xB0</v>
      </c>
    </row>
    <row r="19" hidden="1">
      <c r="A19" s="51" t="str">
        <f t="shared" si="27"/>
        <v>E912</v>
      </c>
      <c r="B19" s="52" t="str">
        <f>IFERROR(__xludf.DUMMYFUNCTION("REGEXREPLACE($N19, ""(?i)^8301(E000|E100|E200|E300)?"", """")"),"E91200C30FB1A4B5B5A430D037F4D246000CFCB0")</f>
        <v>E91200C30FB1A4B5B5A430D037F4D246000CFCB0</v>
      </c>
      <c r="C19" s="65" t="s">
        <v>14</v>
      </c>
      <c r="D19" s="65" t="s">
        <v>118</v>
      </c>
      <c r="E19" s="65" t="s">
        <v>115</v>
      </c>
      <c r="F19" s="65">
        <v>10.0</v>
      </c>
      <c r="G19" s="65" t="s">
        <v>167</v>
      </c>
      <c r="H19" s="65" t="s">
        <v>118</v>
      </c>
      <c r="I19" s="65"/>
      <c r="J19" s="65" t="s">
        <v>119</v>
      </c>
      <c r="K19" s="65" t="s">
        <v>75</v>
      </c>
      <c r="L19" s="65" t="s">
        <v>76</v>
      </c>
      <c r="M19" s="67">
        <v>46208.0</v>
      </c>
      <c r="N19" s="68" t="s">
        <v>280</v>
      </c>
      <c r="O19" s="65"/>
      <c r="P19" s="57" t="str">
        <f t="shared" si="3"/>
        <v>0x12</v>
      </c>
      <c r="Q19" s="58" t="str">
        <f t="shared" si="4"/>
        <v>0x00</v>
      </c>
      <c r="R19" s="58" t="str">
        <f t="shared" si="5"/>
        <v>0xC3</v>
      </c>
      <c r="S19" s="59">
        <v>5.0</v>
      </c>
      <c r="T19" s="59" t="str">
        <f t="shared" si="6"/>
        <v>0x0F</v>
      </c>
      <c r="U19" s="71" t="str">
        <f t="shared" si="7"/>
        <v>0xB1</v>
      </c>
      <c r="V19" s="71" t="str">
        <f t="shared" si="8"/>
        <v>0xA4</v>
      </c>
      <c r="W19" s="71" t="str">
        <f t="shared" si="29"/>
        <v>0xB5</v>
      </c>
      <c r="X19" s="59"/>
      <c r="Y19" s="71" t="str">
        <f t="shared" si="30"/>
        <v>0xB5</v>
      </c>
      <c r="Z19" s="71" t="str">
        <f t="shared" si="31"/>
        <v>0xA4</v>
      </c>
      <c r="AA19" s="71"/>
      <c r="AB19" s="58">
        <v>21.0</v>
      </c>
      <c r="AC19" s="58" t="str">
        <f t="shared" ref="AC19:AK19" si="36">"0x" &amp; MID($B19,$AB19  + 2*(COLUMN() - COLUMN($AC19)), 2)</f>
        <v>0x30</v>
      </c>
      <c r="AD19" s="58" t="str">
        <f t="shared" si="36"/>
        <v>0xD0</v>
      </c>
      <c r="AE19" s="58" t="str">
        <f t="shared" si="36"/>
        <v>0x37</v>
      </c>
      <c r="AF19" s="58" t="str">
        <f t="shared" si="36"/>
        <v>0xF4</v>
      </c>
      <c r="AG19" s="58" t="str">
        <f t="shared" si="36"/>
        <v>0xD2</v>
      </c>
      <c r="AH19" s="58" t="str">
        <f t="shared" si="36"/>
        <v>0x46</v>
      </c>
      <c r="AI19" s="58" t="str">
        <f t="shared" si="36"/>
        <v>0x00</v>
      </c>
      <c r="AJ19" s="58" t="str">
        <f t="shared" si="36"/>
        <v>0x0C</v>
      </c>
      <c r="AK19" s="58" t="str">
        <f t="shared" si="36"/>
        <v>0xFC</v>
      </c>
      <c r="AL19" s="58"/>
      <c r="AM19" s="58"/>
      <c r="AN19" s="58"/>
      <c r="AO19" s="58"/>
      <c r="AP19" s="58"/>
      <c r="AQ19" s="58"/>
      <c r="AR19" s="58"/>
      <c r="AS19" s="58"/>
      <c r="AT19" s="74" t="str">
        <f t="shared" si="34"/>
        <v>0xB0</v>
      </c>
    </row>
    <row r="20" hidden="1">
      <c r="A20" s="33" t="str">
        <f t="shared" si="27"/>
        <v>E912</v>
      </c>
      <c r="B20" s="34" t="str">
        <f>IFERROR(__xludf.DUMMYFUNCTION("REGEXREPLACE($N20, ""(?i)^8301(E000|E100|E200|E300)?"", """")"),"E91200C30FB6B9B6B6B930D037F4D24600FCFCB0")</f>
        <v>E91200C30FB6B9B6B6B930D037F4D24600FCFCB0</v>
      </c>
      <c r="C20" s="36" t="s">
        <v>14</v>
      </c>
      <c r="D20" s="36" t="s">
        <v>118</v>
      </c>
      <c r="E20" s="36" t="s">
        <v>115</v>
      </c>
      <c r="F20" s="36">
        <v>10.0</v>
      </c>
      <c r="G20" s="36" t="s">
        <v>167</v>
      </c>
      <c r="H20" s="36" t="s">
        <v>118</v>
      </c>
      <c r="I20" s="36"/>
      <c r="J20" s="36" t="s">
        <v>119</v>
      </c>
      <c r="K20" s="41" t="s">
        <v>75</v>
      </c>
      <c r="L20" s="41" t="s">
        <v>76</v>
      </c>
      <c r="M20" s="43">
        <v>46235.0</v>
      </c>
      <c r="N20" s="44" t="s">
        <v>357</v>
      </c>
      <c r="O20" s="36"/>
      <c r="P20" s="39" t="str">
        <f t="shared" si="3"/>
        <v>0x12</v>
      </c>
      <c r="Q20" s="40" t="str">
        <f t="shared" si="4"/>
        <v>0x00</v>
      </c>
      <c r="R20" s="40" t="str">
        <f t="shared" si="5"/>
        <v>0xC3</v>
      </c>
      <c r="S20" s="42">
        <v>5.0</v>
      </c>
      <c r="T20" s="42" t="str">
        <f t="shared" si="6"/>
        <v>0x0F</v>
      </c>
      <c r="U20" s="48" t="str">
        <f t="shared" si="7"/>
        <v>0xB6</v>
      </c>
      <c r="V20" s="48" t="str">
        <f t="shared" si="8"/>
        <v>0xB9</v>
      </c>
      <c r="W20" s="48" t="str">
        <f t="shared" si="29"/>
        <v>0xB6</v>
      </c>
      <c r="X20" s="42"/>
      <c r="Y20" s="48" t="str">
        <f t="shared" si="30"/>
        <v>0xB6</v>
      </c>
      <c r="Z20" s="48" t="str">
        <f t="shared" si="31"/>
        <v>0xB9</v>
      </c>
      <c r="AA20" s="48"/>
      <c r="AB20" s="40">
        <v>21.0</v>
      </c>
      <c r="AC20" s="40" t="str">
        <f t="shared" ref="AC20:AK20" si="37">"0x" &amp; MID($B20,$AB20  + 2*(COLUMN() - COLUMN($AC20)), 2)</f>
        <v>0x30</v>
      </c>
      <c r="AD20" s="40" t="str">
        <f t="shared" si="37"/>
        <v>0xD0</v>
      </c>
      <c r="AE20" s="40" t="str">
        <f t="shared" si="37"/>
        <v>0x37</v>
      </c>
      <c r="AF20" s="40" t="str">
        <f t="shared" si="37"/>
        <v>0xF4</v>
      </c>
      <c r="AG20" s="40" t="str">
        <f t="shared" si="37"/>
        <v>0xD2</v>
      </c>
      <c r="AH20" s="40" t="str">
        <f t="shared" si="37"/>
        <v>0x46</v>
      </c>
      <c r="AI20" s="40" t="str">
        <f t="shared" si="37"/>
        <v>0x00</v>
      </c>
      <c r="AJ20" s="40" t="str">
        <f t="shared" si="37"/>
        <v>0xFC</v>
      </c>
      <c r="AK20" s="40" t="str">
        <f t="shared" si="37"/>
        <v>0xFC</v>
      </c>
      <c r="AL20" s="40"/>
      <c r="AM20" s="40"/>
      <c r="AN20" s="40"/>
      <c r="AO20" s="40"/>
      <c r="AP20" s="40"/>
      <c r="AQ20" s="40"/>
      <c r="AR20" s="40"/>
      <c r="AS20" s="40"/>
      <c r="AT20" s="64" t="str">
        <f t="shared" si="34"/>
        <v>0xB0</v>
      </c>
    </row>
    <row r="21" hidden="1">
      <c r="A21" s="51" t="str">
        <f t="shared" si="27"/>
        <v>E912</v>
      </c>
      <c r="B21" s="52" t="str">
        <f>IFERROR(__xludf.DUMMYFUNCTION("REGEXREPLACE($N21, ""(?i)^8301(E000|E100|E200|E300)?"", """")"),"E91200D20FA4B9A8AFB530D037F4D2460064FCB0")</f>
        <v>E91200D20FA4B9A8AFB530D037F4D2460064FCB0</v>
      </c>
      <c r="C21" s="65" t="s">
        <v>14</v>
      </c>
      <c r="D21" s="65" t="s">
        <v>118</v>
      </c>
      <c r="E21" s="65" t="s">
        <v>115</v>
      </c>
      <c r="F21" s="65">
        <v>10.0</v>
      </c>
      <c r="G21" s="65" t="s">
        <v>167</v>
      </c>
      <c r="H21" s="65" t="s">
        <v>118</v>
      </c>
      <c r="I21" s="65"/>
      <c r="J21" s="65" t="s">
        <v>119</v>
      </c>
      <c r="K21" s="65" t="s">
        <v>75</v>
      </c>
      <c r="L21" s="65" t="s">
        <v>76</v>
      </c>
      <c r="M21" s="67">
        <v>46219.0</v>
      </c>
      <c r="N21" s="68" t="s">
        <v>341</v>
      </c>
      <c r="O21" s="65"/>
      <c r="P21" s="57" t="str">
        <f t="shared" si="3"/>
        <v>0x12</v>
      </c>
      <c r="Q21" s="58" t="str">
        <f t="shared" si="4"/>
        <v>0x00</v>
      </c>
      <c r="R21" s="58" t="str">
        <f t="shared" si="5"/>
        <v>0xD2</v>
      </c>
      <c r="S21" s="59">
        <v>5.0</v>
      </c>
      <c r="T21" s="59" t="str">
        <f t="shared" si="6"/>
        <v>0x0F</v>
      </c>
      <c r="U21" s="71" t="str">
        <f t="shared" si="7"/>
        <v>0xA4</v>
      </c>
      <c r="V21" s="71" t="str">
        <f t="shared" si="8"/>
        <v>0xB9</v>
      </c>
      <c r="W21" s="71" t="str">
        <f t="shared" si="29"/>
        <v>0xA8</v>
      </c>
      <c r="X21" s="59"/>
      <c r="Y21" s="71" t="str">
        <f t="shared" si="30"/>
        <v>0xAF</v>
      </c>
      <c r="Z21" s="71" t="str">
        <f t="shared" si="31"/>
        <v>0xB5</v>
      </c>
      <c r="AA21" s="71"/>
      <c r="AB21" s="58">
        <v>21.0</v>
      </c>
      <c r="AC21" s="58" t="str">
        <f t="shared" ref="AC21:AK21" si="38">"0x" &amp; MID($B21,$AB21  + 2*(COLUMN() - COLUMN($AC21)), 2)</f>
        <v>0x30</v>
      </c>
      <c r="AD21" s="58" t="str">
        <f t="shared" si="38"/>
        <v>0xD0</v>
      </c>
      <c r="AE21" s="58" t="str">
        <f t="shared" si="38"/>
        <v>0x37</v>
      </c>
      <c r="AF21" s="58" t="str">
        <f t="shared" si="38"/>
        <v>0xF4</v>
      </c>
      <c r="AG21" s="58" t="str">
        <f t="shared" si="38"/>
        <v>0xD2</v>
      </c>
      <c r="AH21" s="58" t="str">
        <f t="shared" si="38"/>
        <v>0x46</v>
      </c>
      <c r="AI21" s="58" t="str">
        <f t="shared" si="38"/>
        <v>0x00</v>
      </c>
      <c r="AJ21" s="58" t="str">
        <f t="shared" si="38"/>
        <v>0x64</v>
      </c>
      <c r="AK21" s="58" t="str">
        <f t="shared" si="38"/>
        <v>0xFC</v>
      </c>
      <c r="AL21" s="58"/>
      <c r="AM21" s="58"/>
      <c r="AN21" s="58"/>
      <c r="AO21" s="58"/>
      <c r="AP21" s="58"/>
      <c r="AQ21" s="58"/>
      <c r="AR21" s="58"/>
      <c r="AS21" s="58"/>
      <c r="AT21" s="74" t="str">
        <f t="shared" si="34"/>
        <v>0xB0</v>
      </c>
    </row>
    <row r="22">
      <c r="A22" s="33" t="str">
        <f t="shared" si="27"/>
        <v>E914</v>
      </c>
      <c r="B22" s="34" t="str">
        <f>IFERROR(__xludf.DUMMYFUNCTION("REGEXREPLACE($N22, ""(?i)^8301(E000|E100|E200|E300)?"", """")"),"E914004C0F515D58F44882D06500D14657FF307B00B0")</f>
        <v>E914004C0F515D58F44882D06500D14657FF307B00B0</v>
      </c>
      <c r="C22" s="36" t="s">
        <v>14</v>
      </c>
      <c r="D22" s="36" t="s">
        <v>438</v>
      </c>
      <c r="E22" s="36" t="s">
        <v>115</v>
      </c>
      <c r="F22" s="36">
        <v>6.0</v>
      </c>
      <c r="G22" s="36" t="s">
        <v>167</v>
      </c>
      <c r="H22" s="36" t="s">
        <v>118</v>
      </c>
      <c r="I22" s="36"/>
      <c r="J22" s="36" t="s">
        <v>119</v>
      </c>
      <c r="K22" s="36" t="s">
        <v>75</v>
      </c>
      <c r="L22" s="36" t="s">
        <v>120</v>
      </c>
      <c r="M22" s="37">
        <v>46219.0</v>
      </c>
      <c r="N22" s="38" t="s">
        <v>432</v>
      </c>
      <c r="O22" s="36"/>
      <c r="P22" s="39" t="str">
        <f t="shared" si="3"/>
        <v>0x14</v>
      </c>
      <c r="Q22" s="40" t="str">
        <f t="shared" si="4"/>
        <v>0x00</v>
      </c>
      <c r="R22" s="40" t="str">
        <f t="shared" si="5"/>
        <v>0x4C</v>
      </c>
      <c r="S22" s="77">
        <v>2.0</v>
      </c>
      <c r="T22" s="78" t="str">
        <f t="shared" si="6"/>
        <v>0x0F</v>
      </c>
      <c r="U22" s="72" t="str">
        <f t="shared" si="7"/>
        <v>0x51</v>
      </c>
      <c r="V22" s="72" t="str">
        <f t="shared" si="8"/>
        <v>0x5D</v>
      </c>
      <c r="W22" s="79"/>
      <c r="X22" s="80"/>
      <c r="Y22" s="79"/>
      <c r="Z22" s="79"/>
      <c r="AA22" s="79"/>
      <c r="AB22" s="81">
        <v>15.0</v>
      </c>
      <c r="AC22" s="40" t="str">
        <f t="shared" ref="AC22:AP22" si="39">"0x" &amp; MID($B22,$AB22  + 2*(COLUMN() - COLUMN($AC22)), 2)</f>
        <v>0x58</v>
      </c>
      <c r="AD22" s="40" t="str">
        <f t="shared" si="39"/>
        <v>0xF4</v>
      </c>
      <c r="AE22" s="40" t="str">
        <f t="shared" si="39"/>
        <v>0x48</v>
      </c>
      <c r="AF22" s="40" t="str">
        <f t="shared" si="39"/>
        <v>0x82</v>
      </c>
      <c r="AG22" s="40" t="str">
        <f t="shared" si="39"/>
        <v>0xD0</v>
      </c>
      <c r="AH22" s="40" t="str">
        <f t="shared" si="39"/>
        <v>0x65</v>
      </c>
      <c r="AI22" s="40" t="str">
        <f t="shared" si="39"/>
        <v>0x00</v>
      </c>
      <c r="AJ22" s="40" t="str">
        <f t="shared" si="39"/>
        <v>0xD1</v>
      </c>
      <c r="AK22" s="40" t="str">
        <f t="shared" si="39"/>
        <v>0x46</v>
      </c>
      <c r="AL22" s="40" t="str">
        <f t="shared" si="39"/>
        <v>0x57</v>
      </c>
      <c r="AM22" s="40" t="str">
        <f t="shared" si="39"/>
        <v>0xFF</v>
      </c>
      <c r="AN22" s="40" t="str">
        <f t="shared" si="39"/>
        <v>0x30</v>
      </c>
      <c r="AO22" s="40" t="str">
        <f t="shared" si="39"/>
        <v>0x7B</v>
      </c>
      <c r="AP22" s="40" t="str">
        <f t="shared" si="39"/>
        <v>0x00</v>
      </c>
      <c r="AQ22" s="40"/>
      <c r="AR22" s="40"/>
      <c r="AS22" s="40"/>
      <c r="AT22" s="64" t="str">
        <f>"0x"&amp;MID($B22,43,2)</f>
        <v>0xB0</v>
      </c>
    </row>
    <row r="23">
      <c r="A23" s="51" t="str">
        <f t="shared" si="27"/>
        <v>E90C</v>
      </c>
      <c r="B23" s="52" t="str">
        <f>IFERROR(__xludf.DUMMYFUNCTION("REGEXREPLACE($N23, ""(?i)^8301(E000|E100|E200|E300)?"", """")"),"E90C00190FB5B1A4B5B2307B40B0")</f>
        <v>E90C00190FB5B1A4B5B2307B40B0</v>
      </c>
      <c r="C23" s="65" t="s">
        <v>14</v>
      </c>
      <c r="D23" s="65" t="s">
        <v>118</v>
      </c>
      <c r="E23" s="65" t="s">
        <v>115</v>
      </c>
      <c r="F23" s="65">
        <v>5.0</v>
      </c>
      <c r="G23" s="65" t="s">
        <v>116</v>
      </c>
      <c r="H23" s="65" t="s">
        <v>118</v>
      </c>
      <c r="I23" s="65"/>
      <c r="J23" s="65" t="s">
        <v>119</v>
      </c>
      <c r="K23" s="65" t="s">
        <v>129</v>
      </c>
      <c r="L23" s="65" t="s">
        <v>137</v>
      </c>
      <c r="M23" s="67">
        <v>46207.0</v>
      </c>
      <c r="N23" s="56" t="s">
        <v>250</v>
      </c>
      <c r="O23" s="65"/>
      <c r="P23" s="57" t="str">
        <f t="shared" si="3"/>
        <v>0x0C</v>
      </c>
      <c r="Q23" s="58" t="str">
        <f t="shared" si="4"/>
        <v>0x00</v>
      </c>
      <c r="R23" s="58" t="str">
        <f t="shared" si="5"/>
        <v>0x19</v>
      </c>
      <c r="S23" s="59">
        <v>5.0</v>
      </c>
      <c r="T23" s="59" t="str">
        <f t="shared" si="6"/>
        <v>0x0F</v>
      </c>
      <c r="U23" s="71" t="str">
        <f t="shared" si="7"/>
        <v>0xB5</v>
      </c>
      <c r="V23" s="71" t="str">
        <f t="shared" si="8"/>
        <v>0xB1</v>
      </c>
      <c r="W23" s="71" t="str">
        <f t="shared" ref="W23:W24" si="41">"0x"&amp;MID($B23,15,2)</f>
        <v>0xA4</v>
      </c>
      <c r="X23" s="59"/>
      <c r="Y23" s="71" t="str">
        <f t="shared" ref="Y23:Y24" si="42">"0x"&amp;MID($B23,17,2)</f>
        <v>0xB5</v>
      </c>
      <c r="Z23" s="71" t="str">
        <f t="shared" ref="Z23:Z24" si="43">"0x"&amp;MID($B23,19,2)</f>
        <v>0xB2</v>
      </c>
      <c r="AA23" s="71"/>
      <c r="AB23" s="58">
        <v>15.0</v>
      </c>
      <c r="AC23" s="62" t="str">
        <f t="shared" ref="AC23:AH23" si="40">"0x" &amp; MID($B23,$AB23  + 2*(COLUMN() - COLUMN($AC23)), 2)</f>
        <v>0xA4</v>
      </c>
      <c r="AD23" s="62" t="str">
        <f t="shared" si="40"/>
        <v>0xB5</v>
      </c>
      <c r="AE23" s="62" t="str">
        <f t="shared" si="40"/>
        <v>0xB2</v>
      </c>
      <c r="AF23" s="62" t="str">
        <f t="shared" si="40"/>
        <v>0x30</v>
      </c>
      <c r="AG23" s="62" t="str">
        <f t="shared" si="40"/>
        <v>0x7B</v>
      </c>
      <c r="AH23" s="62" t="str">
        <f t="shared" si="40"/>
        <v>0x40</v>
      </c>
      <c r="AI23" s="62"/>
      <c r="AJ23" s="62"/>
      <c r="AK23" s="62"/>
      <c r="AL23" s="58"/>
      <c r="AM23" s="58"/>
      <c r="AN23" s="58"/>
      <c r="AO23" s="58"/>
      <c r="AP23" s="58"/>
      <c r="AQ23" s="58"/>
      <c r="AR23" s="58"/>
      <c r="AS23" s="58"/>
      <c r="AT23" s="74" t="str">
        <f t="shared" ref="AT23:AT24" si="45">"0x"&amp;MID($B23,27,2)</f>
        <v>0xB0</v>
      </c>
    </row>
    <row r="24">
      <c r="A24" s="33" t="str">
        <f t="shared" si="27"/>
        <v>E90C</v>
      </c>
      <c r="B24" s="34" t="str">
        <f>IFERROR(__xludf.DUMMYFUNCTION("REGEXREPLACE($N24, ""(?i)^8301(E000|E100|E200|E300)?"", """")"),"E90C000F0FB1B9B5B1A2307B7DB0")</f>
        <v>E90C000F0FB1B9B5B1A2307B7DB0</v>
      </c>
      <c r="C24" s="36" t="s">
        <v>14</v>
      </c>
      <c r="D24" s="36" t="s">
        <v>472</v>
      </c>
      <c r="E24" s="36" t="s">
        <v>115</v>
      </c>
      <c r="F24" s="36">
        <v>5.0</v>
      </c>
      <c r="G24" s="36" t="s">
        <v>116</v>
      </c>
      <c r="H24" s="36" t="s">
        <v>118</v>
      </c>
      <c r="I24" s="36">
        <v>3.0</v>
      </c>
      <c r="J24" s="36" t="s">
        <v>119</v>
      </c>
      <c r="K24" s="36" t="s">
        <v>75</v>
      </c>
      <c r="L24" s="36" t="s">
        <v>120</v>
      </c>
      <c r="M24" s="37">
        <v>46219.0</v>
      </c>
      <c r="N24" s="38" t="s">
        <v>248</v>
      </c>
      <c r="O24" s="36"/>
      <c r="P24" s="39" t="str">
        <f t="shared" si="3"/>
        <v>0x0C</v>
      </c>
      <c r="Q24" s="40" t="str">
        <f t="shared" si="4"/>
        <v>0x00</v>
      </c>
      <c r="R24" s="40" t="str">
        <f t="shared" si="5"/>
        <v>0x0F</v>
      </c>
      <c r="S24" s="42">
        <v>5.0</v>
      </c>
      <c r="T24" s="42" t="str">
        <f t="shared" si="6"/>
        <v>0x0F</v>
      </c>
      <c r="U24" s="48" t="str">
        <f t="shared" si="7"/>
        <v>0xB1</v>
      </c>
      <c r="V24" s="48" t="str">
        <f t="shared" si="8"/>
        <v>0xB9</v>
      </c>
      <c r="W24" s="48" t="str">
        <f t="shared" si="41"/>
        <v>0xB5</v>
      </c>
      <c r="X24" s="42"/>
      <c r="Y24" s="48" t="str">
        <f t="shared" si="42"/>
        <v>0xB1</v>
      </c>
      <c r="Z24" s="48" t="str">
        <f t="shared" si="43"/>
        <v>0xA2</v>
      </c>
      <c r="AA24" s="48"/>
      <c r="AB24" s="40">
        <v>15.0</v>
      </c>
      <c r="AC24" s="47" t="str">
        <f t="shared" ref="AC24:AH24" si="44">"0x" &amp; MID($B24,$AB24  + 2*(COLUMN() - COLUMN($AC24)), 2)</f>
        <v>0xB5</v>
      </c>
      <c r="AD24" s="47" t="str">
        <f t="shared" si="44"/>
        <v>0xB1</v>
      </c>
      <c r="AE24" s="47" t="str">
        <f t="shared" si="44"/>
        <v>0xA2</v>
      </c>
      <c r="AF24" s="47" t="str">
        <f t="shared" si="44"/>
        <v>0x30</v>
      </c>
      <c r="AG24" s="47" t="str">
        <f t="shared" si="44"/>
        <v>0x7B</v>
      </c>
      <c r="AH24" s="47" t="str">
        <f t="shared" si="44"/>
        <v>0x7D</v>
      </c>
      <c r="AI24" s="47"/>
      <c r="AJ24" s="47"/>
      <c r="AK24" s="47"/>
      <c r="AL24" s="40"/>
      <c r="AM24" s="40"/>
      <c r="AN24" s="40"/>
      <c r="AO24" s="40"/>
      <c r="AP24" s="40"/>
      <c r="AQ24" s="40"/>
      <c r="AR24" s="40"/>
      <c r="AS24" s="40"/>
      <c r="AT24" s="64" t="str">
        <f t="shared" si="45"/>
        <v>0xB0</v>
      </c>
    </row>
  </sheetData>
  <autoFilter ref="$A$1:$AT$24">
    <filterColumn colId="29">
      <filters>
        <filter val="0xB1"/>
        <filter val="0xF4"/>
        <filter val="0x7B"/>
        <filter val="0xA5"/>
        <filter val="0xB5"/>
      </filters>
    </filterColumn>
    <sortState ref="A1:AT24">
      <sortCondition ref="AC1:AC24"/>
      <sortCondition ref="I1:I24"/>
      <sortCondition ref="B1:B24"/>
      <sortCondition ref="AD1:AD24"/>
      <sortCondition ref="AE1:AE24"/>
      <sortCondition ref="AF1:AF24"/>
      <sortCondition ref="AG1:AG24"/>
      <sortCondition ref="AH1:AH24"/>
      <sortCondition ref="AI1:AI24"/>
      <sortCondition ref="AJ1:AJ24"/>
      <sortCondition ref="AK1:AK24"/>
      <sortCondition ref="AL1:AL24"/>
      <sortCondition ref="AM1:AM24"/>
      <sortCondition ref="AN1:AN24"/>
      <sortCondition ref="AO1:AO24"/>
      <sortCondition ref="AP1:AP24"/>
      <sortCondition ref="C1:C24"/>
      <sortCondition ref="T1:T24"/>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hidden="1" min="4" max="4" width="23.63"/>
    <col customWidth="1" min="5" max="5" width="10.88"/>
    <col customWidth="1" min="6" max="6" width="8.5"/>
    <col customWidth="1" hidden="1" min="7" max="7" width="10.5"/>
    <col customWidth="1" hidden="1" min="8" max="8" width="14.75"/>
    <col customWidth="1" hidden="1" min="9" max="9" width="9.5"/>
    <col customWidth="1" hidden="1" min="10" max="10" width="53.0"/>
    <col customWidth="1" hidden="1" min="11" max="11" width="12.63"/>
    <col customWidth="1" min="12" max="12" width="9.0"/>
    <col customWidth="1" min="13" max="13" width="5.88"/>
    <col customWidth="1" min="14" max="14" width="5.75"/>
    <col customWidth="1" min="15" max="15" width="4.38"/>
    <col customWidth="1" min="16" max="16" width="7.0"/>
    <col customWidth="1" min="17" max="18" width="5.63"/>
    <col customWidth="1" hidden="1" min="19" max="19" width="5.63"/>
    <col customWidth="1" hidden="1" min="20" max="20" width="7.0"/>
    <col customWidth="1" hidden="1" min="21" max="23" width="5.63"/>
    <col customWidth="1" min="24" max="24" width="7.25"/>
    <col customWidth="1" min="25" max="35" width="6.38"/>
    <col customWidth="1" hidden="1" min="36" max="36" width="6.25"/>
    <col customWidth="1" hidden="1" min="37" max="41" width="6.38"/>
    <col customWidth="1" min="42" max="42" width="6.0"/>
  </cols>
  <sheetData>
    <row r="1">
      <c r="A1" s="19" t="s">
        <v>62</v>
      </c>
      <c r="B1" s="20" t="s">
        <v>71</v>
      </c>
      <c r="C1" s="20" t="s">
        <v>73</v>
      </c>
      <c r="D1" s="20" t="s">
        <v>6</v>
      </c>
      <c r="E1" s="20" t="s">
        <v>475</v>
      </c>
      <c r="F1" s="20" t="s">
        <v>476</v>
      </c>
      <c r="G1" s="20" t="s">
        <v>69</v>
      </c>
      <c r="H1" s="20" t="s">
        <v>70</v>
      </c>
      <c r="I1" s="20" t="s">
        <v>67</v>
      </c>
      <c r="J1" s="20" t="s">
        <v>44</v>
      </c>
      <c r="K1" s="20" t="s">
        <v>74</v>
      </c>
      <c r="L1" s="21" t="s">
        <v>1</v>
      </c>
      <c r="M1" s="23" t="s">
        <v>5</v>
      </c>
      <c r="N1" s="23" t="s">
        <v>8</v>
      </c>
      <c r="O1" s="25" t="s">
        <v>11</v>
      </c>
      <c r="P1" s="25" t="s">
        <v>20</v>
      </c>
      <c r="Q1" s="26" t="s">
        <v>23</v>
      </c>
      <c r="R1" s="26" t="s">
        <v>28</v>
      </c>
      <c r="S1" s="26" t="s">
        <v>31</v>
      </c>
      <c r="T1" s="25" t="s">
        <v>34</v>
      </c>
      <c r="U1" s="26" t="s">
        <v>37</v>
      </c>
      <c r="V1" s="26" t="s">
        <v>40</v>
      </c>
      <c r="W1" s="26" t="s">
        <v>43</v>
      </c>
      <c r="X1" s="28" t="s">
        <v>48</v>
      </c>
      <c r="Y1" s="28" t="s">
        <v>83</v>
      </c>
      <c r="Z1" s="28" t="s">
        <v>85</v>
      </c>
      <c r="AA1" s="28" t="s">
        <v>86</v>
      </c>
      <c r="AB1" s="28" t="s">
        <v>88</v>
      </c>
      <c r="AC1" s="28" t="s">
        <v>89</v>
      </c>
      <c r="AD1" s="28" t="s">
        <v>90</v>
      </c>
      <c r="AE1" s="28" t="s">
        <v>91</v>
      </c>
      <c r="AF1" s="28" t="s">
        <v>93</v>
      </c>
      <c r="AG1" s="28" t="s">
        <v>94</v>
      </c>
      <c r="AH1" s="28" t="s">
        <v>95</v>
      </c>
      <c r="AI1" s="28" t="s">
        <v>96</v>
      </c>
      <c r="AJ1" s="28" t="s">
        <v>97</v>
      </c>
      <c r="AK1" s="28" t="s">
        <v>98</v>
      </c>
      <c r="AL1" s="28" t="s">
        <v>100</v>
      </c>
      <c r="AM1" s="28" t="s">
        <v>101</v>
      </c>
      <c r="AN1" s="28" t="s">
        <v>102</v>
      </c>
      <c r="AO1" s="28" t="s">
        <v>103</v>
      </c>
      <c r="AP1" s="32" t="s">
        <v>57</v>
      </c>
    </row>
    <row r="2">
      <c r="A2" s="33" t="str">
        <f t="shared" ref="A2:A15" si="2">LEFT($B2, 4)</f>
        <v>E911</v>
      </c>
      <c r="B2" s="34" t="str">
        <f>IFERROR(__xludf.DUMMYFUNCTION("REGEXREPLACE($J2, ""(?i)^8301(E000|E100|E200|E300)?"", """")"),"E911000F0F485958F44882D146020DD06505B0")</f>
        <v>E911000F0F485958F44882D146020DD06505B0</v>
      </c>
      <c r="C2" s="36" t="s">
        <v>477</v>
      </c>
      <c r="D2" s="36" t="s">
        <v>478</v>
      </c>
      <c r="E2" s="36" t="s">
        <v>479</v>
      </c>
      <c r="F2" s="36" t="s">
        <v>480</v>
      </c>
      <c r="G2" s="36" t="s">
        <v>75</v>
      </c>
      <c r="H2" s="36" t="s">
        <v>120</v>
      </c>
      <c r="I2" s="37">
        <v>46219.0</v>
      </c>
      <c r="J2" s="38" t="s">
        <v>362</v>
      </c>
      <c r="K2" s="36"/>
      <c r="L2" s="39" t="str">
        <f t="shared" ref="L2:L15" si="3">"0x"&amp;mid($B2,3,2)</f>
        <v>0x11</v>
      </c>
      <c r="M2" s="40" t="str">
        <f t="shared" ref="M2:M15" si="4">"0x"&amp;MID($B2,5,2)</f>
        <v>0x00</v>
      </c>
      <c r="N2" s="40" t="str">
        <f t="shared" ref="N2:N15" si="5">"0x"&amp;MID($B2,7,2)</f>
        <v>0x0F</v>
      </c>
      <c r="O2" s="77">
        <v>2.0</v>
      </c>
      <c r="P2" s="78" t="str">
        <f t="shared" ref="P2:P15" si="6">"0x"&amp;MID($B2,9,2)</f>
        <v>0x0F</v>
      </c>
      <c r="Q2" s="72" t="str">
        <f t="shared" ref="Q2:Q15" si="7">"0x"&amp;MID($B2,11,2)</f>
        <v>0x48</v>
      </c>
      <c r="R2" s="72" t="str">
        <f t="shared" ref="R2:R15" si="8">"0x"&amp;MID($B2,13,2)</f>
        <v>0x59</v>
      </c>
      <c r="S2" s="79"/>
      <c r="T2" s="80"/>
      <c r="U2" s="79"/>
      <c r="V2" s="79"/>
      <c r="W2" s="79"/>
      <c r="X2" s="81">
        <v>15.0</v>
      </c>
      <c r="Y2" s="40" t="str">
        <f t="shared" ref="Y2:AI2" si="1">"0x" &amp; MID($B2,$X2  + 2*(COLUMN() - COLUMN($Y2)), 2)</f>
        <v>0x58</v>
      </c>
      <c r="Z2" s="40" t="str">
        <f t="shared" si="1"/>
        <v>0xF4</v>
      </c>
      <c r="AA2" s="40" t="str">
        <f t="shared" si="1"/>
        <v>0x48</v>
      </c>
      <c r="AB2" s="40" t="str">
        <f t="shared" si="1"/>
        <v>0x82</v>
      </c>
      <c r="AC2" s="40" t="str">
        <f t="shared" si="1"/>
        <v>0xD1</v>
      </c>
      <c r="AD2" s="40" t="str">
        <f t="shared" si="1"/>
        <v>0x46</v>
      </c>
      <c r="AE2" s="40" t="str">
        <f t="shared" si="1"/>
        <v>0x02</v>
      </c>
      <c r="AF2" s="40" t="str">
        <f t="shared" si="1"/>
        <v>0x0D</v>
      </c>
      <c r="AG2" s="40" t="str">
        <f t="shared" si="1"/>
        <v>0xD0</v>
      </c>
      <c r="AH2" s="40" t="str">
        <f t="shared" si="1"/>
        <v>0x65</v>
      </c>
      <c r="AI2" s="40" t="str">
        <f t="shared" si="1"/>
        <v>0x05</v>
      </c>
      <c r="AJ2" s="40"/>
      <c r="AK2" s="40"/>
      <c r="AL2" s="40"/>
      <c r="AM2" s="40"/>
      <c r="AN2" s="40"/>
      <c r="AO2" s="40"/>
      <c r="AP2" s="64" t="str">
        <f t="shared" ref="AP2:AP6" si="10">"0x"&amp;MID($B2,37,2)</f>
        <v>0xB0</v>
      </c>
    </row>
    <row r="3">
      <c r="A3" s="51" t="str">
        <f t="shared" si="2"/>
        <v>E911</v>
      </c>
      <c r="B3" s="52" t="str">
        <f>IFERROR(__xludf.DUMMYFUNCTION("REGEXREPLACE($J3, ""(?i)^8301(E000|E100|E200|E300)?"", """")"),"E911004A0F515D58F44882D146050FD06500B0")</f>
        <v>E911004A0F515D58F44882D146050FD06500B0</v>
      </c>
      <c r="C3" s="65" t="s">
        <v>477</v>
      </c>
      <c r="D3" s="65"/>
      <c r="E3" s="65" t="s">
        <v>479</v>
      </c>
      <c r="F3" s="65" t="s">
        <v>480</v>
      </c>
      <c r="G3" s="65" t="s">
        <v>217</v>
      </c>
      <c r="H3" s="65" t="s">
        <v>218</v>
      </c>
      <c r="I3" s="67">
        <v>46244.0</v>
      </c>
      <c r="J3" s="68" t="s">
        <v>465</v>
      </c>
      <c r="K3" s="65"/>
      <c r="L3" s="57" t="str">
        <f t="shared" si="3"/>
        <v>0x11</v>
      </c>
      <c r="M3" s="58" t="str">
        <f t="shared" si="4"/>
        <v>0x00</v>
      </c>
      <c r="N3" s="58" t="str">
        <f t="shared" si="5"/>
        <v>0x4A</v>
      </c>
      <c r="O3" s="82">
        <v>2.0</v>
      </c>
      <c r="P3" s="83" t="str">
        <f t="shared" si="6"/>
        <v>0x0F</v>
      </c>
      <c r="Q3" s="84" t="str">
        <f t="shared" si="7"/>
        <v>0x51</v>
      </c>
      <c r="R3" s="84" t="str">
        <f t="shared" si="8"/>
        <v>0x5D</v>
      </c>
      <c r="S3" s="85"/>
      <c r="T3" s="86"/>
      <c r="U3" s="85"/>
      <c r="V3" s="85"/>
      <c r="W3" s="85"/>
      <c r="X3" s="87">
        <v>15.0</v>
      </c>
      <c r="Y3" s="58" t="str">
        <f t="shared" ref="Y3:AI3" si="9">"0x" &amp; MID($B3,$X3  + 2*(COLUMN() - COLUMN($Y3)), 2)</f>
        <v>0x58</v>
      </c>
      <c r="Z3" s="58" t="str">
        <f t="shared" si="9"/>
        <v>0xF4</v>
      </c>
      <c r="AA3" s="58" t="str">
        <f t="shared" si="9"/>
        <v>0x48</v>
      </c>
      <c r="AB3" s="58" t="str">
        <f t="shared" si="9"/>
        <v>0x82</v>
      </c>
      <c r="AC3" s="58" t="str">
        <f t="shared" si="9"/>
        <v>0xD1</v>
      </c>
      <c r="AD3" s="58" t="str">
        <f t="shared" si="9"/>
        <v>0x46</v>
      </c>
      <c r="AE3" s="58" t="str">
        <f t="shared" si="9"/>
        <v>0x05</v>
      </c>
      <c r="AF3" s="58" t="str">
        <f t="shared" si="9"/>
        <v>0x0F</v>
      </c>
      <c r="AG3" s="58" t="str">
        <f t="shared" si="9"/>
        <v>0xD0</v>
      </c>
      <c r="AH3" s="58" t="str">
        <f t="shared" si="9"/>
        <v>0x65</v>
      </c>
      <c r="AI3" s="58" t="str">
        <f t="shared" si="9"/>
        <v>0x00</v>
      </c>
      <c r="AJ3" s="58"/>
      <c r="AK3" s="58"/>
      <c r="AL3" s="58"/>
      <c r="AM3" s="58"/>
      <c r="AN3" s="58"/>
      <c r="AO3" s="58"/>
      <c r="AP3" s="74" t="str">
        <f t="shared" si="10"/>
        <v>0xB0</v>
      </c>
    </row>
    <row r="4">
      <c r="A4" s="33" t="str">
        <f t="shared" si="2"/>
        <v>E911</v>
      </c>
      <c r="B4" s="34" t="str">
        <f>IFERROR(__xludf.DUMMYFUNCTION("REGEXREPLACE($J4, ""(?i)^8301(E000|E100|E200|E300)?"", """")"),"E91100630F424058F44882D1460205D06500B0")</f>
        <v>E91100630F424058F44882D1460205D06500B0</v>
      </c>
      <c r="C4" s="36" t="s">
        <v>477</v>
      </c>
      <c r="D4" s="36" t="s">
        <v>478</v>
      </c>
      <c r="E4" s="36" t="s">
        <v>479</v>
      </c>
      <c r="F4" s="36" t="s">
        <v>480</v>
      </c>
      <c r="G4" s="36" t="s">
        <v>106</v>
      </c>
      <c r="H4" s="36" t="s">
        <v>175</v>
      </c>
      <c r="I4" s="37">
        <v>46220.0</v>
      </c>
      <c r="J4" s="38" t="s">
        <v>381</v>
      </c>
      <c r="K4" s="36"/>
      <c r="L4" s="39" t="str">
        <f t="shared" si="3"/>
        <v>0x11</v>
      </c>
      <c r="M4" s="40" t="str">
        <f t="shared" si="4"/>
        <v>0x00</v>
      </c>
      <c r="N4" s="40" t="str">
        <f t="shared" si="5"/>
        <v>0x63</v>
      </c>
      <c r="O4" s="77">
        <v>2.0</v>
      </c>
      <c r="P4" s="78" t="str">
        <f t="shared" si="6"/>
        <v>0x0F</v>
      </c>
      <c r="Q4" s="72" t="str">
        <f t="shared" si="7"/>
        <v>0x42</v>
      </c>
      <c r="R4" s="72" t="str">
        <f t="shared" si="8"/>
        <v>0x40</v>
      </c>
      <c r="S4" s="79"/>
      <c r="T4" s="80"/>
      <c r="U4" s="79"/>
      <c r="V4" s="79"/>
      <c r="W4" s="79"/>
      <c r="X4" s="81">
        <v>15.0</v>
      </c>
      <c r="Y4" s="40" t="str">
        <f t="shared" ref="Y4:AI4" si="11">"0x" &amp; MID($B4,$X4  + 2*(COLUMN() - COLUMN($Y4)), 2)</f>
        <v>0x58</v>
      </c>
      <c r="Z4" s="40" t="str">
        <f t="shared" si="11"/>
        <v>0xF4</v>
      </c>
      <c r="AA4" s="40" t="str">
        <f t="shared" si="11"/>
        <v>0x48</v>
      </c>
      <c r="AB4" s="40" t="str">
        <f t="shared" si="11"/>
        <v>0x82</v>
      </c>
      <c r="AC4" s="40" t="str">
        <f t="shared" si="11"/>
        <v>0xD1</v>
      </c>
      <c r="AD4" s="40" t="str">
        <f t="shared" si="11"/>
        <v>0x46</v>
      </c>
      <c r="AE4" s="40" t="str">
        <f t="shared" si="11"/>
        <v>0x02</v>
      </c>
      <c r="AF4" s="40" t="str">
        <f t="shared" si="11"/>
        <v>0x05</v>
      </c>
      <c r="AG4" s="40" t="str">
        <f t="shared" si="11"/>
        <v>0xD0</v>
      </c>
      <c r="AH4" s="40" t="str">
        <f t="shared" si="11"/>
        <v>0x65</v>
      </c>
      <c r="AI4" s="40" t="str">
        <f t="shared" si="11"/>
        <v>0x00</v>
      </c>
      <c r="AJ4" s="40"/>
      <c r="AK4" s="40"/>
      <c r="AL4" s="40"/>
      <c r="AM4" s="40"/>
      <c r="AN4" s="40"/>
      <c r="AO4" s="40"/>
      <c r="AP4" s="64" t="str">
        <f t="shared" si="10"/>
        <v>0xB0</v>
      </c>
    </row>
    <row r="5">
      <c r="A5" s="51" t="str">
        <f t="shared" si="2"/>
        <v>E911</v>
      </c>
      <c r="B5" s="52" t="str">
        <f>IFERROR(__xludf.DUMMYFUNCTION("REGEXREPLACE($J5, ""(?i)^8301(E000|E100|E200|E300)?"", """")"),"E911006F0F564858F44882D1460208D06500B0")</f>
        <v>E911006F0F564858F44882D1460208D06500B0</v>
      </c>
      <c r="C5" s="65" t="s">
        <v>477</v>
      </c>
      <c r="D5" s="65" t="s">
        <v>478</v>
      </c>
      <c r="E5" s="65" t="s">
        <v>479</v>
      </c>
      <c r="F5" s="65" t="s">
        <v>480</v>
      </c>
      <c r="G5" s="65" t="s">
        <v>75</v>
      </c>
      <c r="H5" s="65" t="s">
        <v>120</v>
      </c>
      <c r="I5" s="67">
        <v>46219.0</v>
      </c>
      <c r="J5" s="68" t="s">
        <v>385</v>
      </c>
      <c r="K5" s="65"/>
      <c r="L5" s="57" t="str">
        <f t="shared" si="3"/>
        <v>0x11</v>
      </c>
      <c r="M5" s="58" t="str">
        <f t="shared" si="4"/>
        <v>0x00</v>
      </c>
      <c r="N5" s="58" t="str">
        <f t="shared" si="5"/>
        <v>0x6F</v>
      </c>
      <c r="O5" s="82">
        <v>2.0</v>
      </c>
      <c r="P5" s="83" t="str">
        <f t="shared" si="6"/>
        <v>0x0F</v>
      </c>
      <c r="Q5" s="84" t="str">
        <f t="shared" si="7"/>
        <v>0x56</v>
      </c>
      <c r="R5" s="84" t="str">
        <f t="shared" si="8"/>
        <v>0x48</v>
      </c>
      <c r="S5" s="85"/>
      <c r="T5" s="86"/>
      <c r="U5" s="85"/>
      <c r="V5" s="85"/>
      <c r="W5" s="85"/>
      <c r="X5" s="87">
        <v>15.0</v>
      </c>
      <c r="Y5" s="58" t="str">
        <f t="shared" ref="Y5:AI5" si="12">"0x" &amp; MID($B5,$X5  + 2*(COLUMN() - COLUMN($Y5)), 2)</f>
        <v>0x58</v>
      </c>
      <c r="Z5" s="58" t="str">
        <f t="shared" si="12"/>
        <v>0xF4</v>
      </c>
      <c r="AA5" s="58" t="str">
        <f t="shared" si="12"/>
        <v>0x48</v>
      </c>
      <c r="AB5" s="58" t="str">
        <f t="shared" si="12"/>
        <v>0x82</v>
      </c>
      <c r="AC5" s="58" t="str">
        <f t="shared" si="12"/>
        <v>0xD1</v>
      </c>
      <c r="AD5" s="58" t="str">
        <f t="shared" si="12"/>
        <v>0x46</v>
      </c>
      <c r="AE5" s="58" t="str">
        <f t="shared" si="12"/>
        <v>0x02</v>
      </c>
      <c r="AF5" s="58" t="str">
        <f t="shared" si="12"/>
        <v>0x08</v>
      </c>
      <c r="AG5" s="58" t="str">
        <f t="shared" si="12"/>
        <v>0xD0</v>
      </c>
      <c r="AH5" s="58" t="str">
        <f t="shared" si="12"/>
        <v>0x65</v>
      </c>
      <c r="AI5" s="58" t="str">
        <f t="shared" si="12"/>
        <v>0x00</v>
      </c>
      <c r="AJ5" s="58"/>
      <c r="AK5" s="58"/>
      <c r="AL5" s="58"/>
      <c r="AM5" s="58"/>
      <c r="AN5" s="58"/>
      <c r="AO5" s="58"/>
      <c r="AP5" s="74" t="str">
        <f t="shared" si="10"/>
        <v>0xB0</v>
      </c>
    </row>
    <row r="6">
      <c r="A6" s="33" t="str">
        <f t="shared" si="2"/>
        <v>E911</v>
      </c>
      <c r="B6" s="34" t="str">
        <f>IFERROR(__xludf.DUMMYFUNCTION("REGEXREPLACE($J6, ""(?i)^8301(E000|E100|E200|E300)?"", """")"),"E91100870F565958F44882D1460513D06500B0")</f>
        <v>E91100870F565958F44882D1460513D06500B0</v>
      </c>
      <c r="C6" s="36" t="s">
        <v>477</v>
      </c>
      <c r="D6" s="36" t="s">
        <v>478</v>
      </c>
      <c r="E6" s="36" t="s">
        <v>479</v>
      </c>
      <c r="F6" s="36" t="s">
        <v>480</v>
      </c>
      <c r="G6" s="36" t="s">
        <v>106</v>
      </c>
      <c r="H6" s="36" t="s">
        <v>175</v>
      </c>
      <c r="I6" s="37">
        <v>46220.0</v>
      </c>
      <c r="J6" s="38" t="s">
        <v>386</v>
      </c>
      <c r="K6" s="36"/>
      <c r="L6" s="39" t="str">
        <f t="shared" si="3"/>
        <v>0x11</v>
      </c>
      <c r="M6" s="40" t="str">
        <f t="shared" si="4"/>
        <v>0x00</v>
      </c>
      <c r="N6" s="40" t="str">
        <f t="shared" si="5"/>
        <v>0x87</v>
      </c>
      <c r="O6" s="77">
        <v>2.0</v>
      </c>
      <c r="P6" s="78" t="str">
        <f t="shared" si="6"/>
        <v>0x0F</v>
      </c>
      <c r="Q6" s="72" t="str">
        <f t="shared" si="7"/>
        <v>0x56</v>
      </c>
      <c r="R6" s="72" t="str">
        <f t="shared" si="8"/>
        <v>0x59</v>
      </c>
      <c r="S6" s="79"/>
      <c r="T6" s="80"/>
      <c r="U6" s="79"/>
      <c r="V6" s="79"/>
      <c r="W6" s="79"/>
      <c r="X6" s="81">
        <v>15.0</v>
      </c>
      <c r="Y6" s="40" t="str">
        <f t="shared" ref="Y6:AI6" si="13">"0x" &amp; MID($B6,$X6  + 2*(COLUMN() - COLUMN($Y6)), 2)</f>
        <v>0x58</v>
      </c>
      <c r="Z6" s="40" t="str">
        <f t="shared" si="13"/>
        <v>0xF4</v>
      </c>
      <c r="AA6" s="40" t="str">
        <f t="shared" si="13"/>
        <v>0x48</v>
      </c>
      <c r="AB6" s="40" t="str">
        <f t="shared" si="13"/>
        <v>0x82</v>
      </c>
      <c r="AC6" s="40" t="str">
        <f t="shared" si="13"/>
        <v>0xD1</v>
      </c>
      <c r="AD6" s="40" t="str">
        <f t="shared" si="13"/>
        <v>0x46</v>
      </c>
      <c r="AE6" s="40" t="str">
        <f t="shared" si="13"/>
        <v>0x05</v>
      </c>
      <c r="AF6" s="40" t="str">
        <f t="shared" si="13"/>
        <v>0x13</v>
      </c>
      <c r="AG6" s="40" t="str">
        <f t="shared" si="13"/>
        <v>0xD0</v>
      </c>
      <c r="AH6" s="40" t="str">
        <f t="shared" si="13"/>
        <v>0x65</v>
      </c>
      <c r="AI6" s="40" t="str">
        <f t="shared" si="13"/>
        <v>0x00</v>
      </c>
      <c r="AJ6" s="40"/>
      <c r="AK6" s="40"/>
      <c r="AL6" s="40"/>
      <c r="AM6" s="40"/>
      <c r="AN6" s="40"/>
      <c r="AO6" s="40"/>
      <c r="AP6" s="64" t="str">
        <f t="shared" si="10"/>
        <v>0xB0</v>
      </c>
    </row>
    <row r="7">
      <c r="A7" s="51" t="str">
        <f t="shared" si="2"/>
        <v>E910</v>
      </c>
      <c r="B7" s="52" t="str">
        <f>IFERROR(__xludf.DUMMYFUNCTION("REGEXREPLACE($J7, ""(?i)^8301(E000|E100|E200|E300)?"", """")"),"E910000F0F515558F44882D1460214D06505")</f>
        <v>E910000F0F515558F44882D1460214D06505</v>
      </c>
      <c r="C7" s="65" t="s">
        <v>484</v>
      </c>
      <c r="D7" s="65" t="s">
        <v>485</v>
      </c>
      <c r="E7" s="65" t="s">
        <v>479</v>
      </c>
      <c r="F7" s="65" t="s">
        <v>480</v>
      </c>
      <c r="G7" s="65" t="s">
        <v>106</v>
      </c>
      <c r="H7" s="65" t="s">
        <v>107</v>
      </c>
      <c r="I7" s="67">
        <v>46220.0</v>
      </c>
      <c r="J7" s="68" t="s">
        <v>334</v>
      </c>
      <c r="K7" s="65"/>
      <c r="L7" s="57" t="str">
        <f t="shared" si="3"/>
        <v>0x10</v>
      </c>
      <c r="M7" s="58" t="str">
        <f t="shared" si="4"/>
        <v>0x00</v>
      </c>
      <c r="N7" s="58" t="str">
        <f t="shared" si="5"/>
        <v>0x0F</v>
      </c>
      <c r="O7" s="59">
        <v>2.0</v>
      </c>
      <c r="P7" s="59" t="str">
        <f t="shared" si="6"/>
        <v>0x0F</v>
      </c>
      <c r="Q7" s="71" t="str">
        <f t="shared" si="7"/>
        <v>0x51</v>
      </c>
      <c r="R7" s="71" t="str">
        <f t="shared" si="8"/>
        <v>0x55</v>
      </c>
      <c r="S7" s="71"/>
      <c r="T7" s="59"/>
      <c r="U7" s="71"/>
      <c r="V7" s="71"/>
      <c r="W7" s="71"/>
      <c r="X7" s="58">
        <v>15.0</v>
      </c>
      <c r="Y7" s="58" t="str">
        <f t="shared" ref="Y7:AI7" si="14">"0x" &amp; MID($B7,$X7  + 2*(COLUMN() - COLUMN($Y7)), 2)</f>
        <v>0x58</v>
      </c>
      <c r="Z7" s="58" t="str">
        <f t="shared" si="14"/>
        <v>0xF4</v>
      </c>
      <c r="AA7" s="58" t="str">
        <f t="shared" si="14"/>
        <v>0x48</v>
      </c>
      <c r="AB7" s="58" t="str">
        <f t="shared" si="14"/>
        <v>0x82</v>
      </c>
      <c r="AC7" s="58" t="str">
        <f t="shared" si="14"/>
        <v>0xD1</v>
      </c>
      <c r="AD7" s="58" t="str">
        <f t="shared" si="14"/>
        <v>0x46</v>
      </c>
      <c r="AE7" s="58" t="str">
        <f t="shared" si="14"/>
        <v>0x02</v>
      </c>
      <c r="AF7" s="58" t="str">
        <f t="shared" si="14"/>
        <v>0x14</v>
      </c>
      <c r="AG7" s="58" t="str">
        <f t="shared" si="14"/>
        <v>0xD0</v>
      </c>
      <c r="AH7" s="58" t="str">
        <f t="shared" si="14"/>
        <v>0x65</v>
      </c>
      <c r="AI7" s="58" t="str">
        <f t="shared" si="14"/>
        <v>0x05</v>
      </c>
      <c r="AJ7" s="58"/>
      <c r="AK7" s="58"/>
      <c r="AL7" s="58"/>
      <c r="AM7" s="58"/>
      <c r="AN7" s="58"/>
      <c r="AO7" s="58"/>
      <c r="AP7" s="88"/>
    </row>
    <row r="8">
      <c r="A8" s="33" t="str">
        <f t="shared" si="2"/>
        <v>E910</v>
      </c>
      <c r="B8" s="34" t="str">
        <f>IFERROR(__xludf.DUMMYFUNCTION("REGEXREPLACE($J8, ""(?i)^8301(E000|E100|E200|E300)?"", """")"),"E910000F0F515558F44882D146023ED06505")</f>
        <v>E910000F0F515558F44882D146023ED06505</v>
      </c>
      <c r="C8" s="36" t="s">
        <v>484</v>
      </c>
      <c r="D8" s="36" t="s">
        <v>485</v>
      </c>
      <c r="E8" s="36" t="s">
        <v>479</v>
      </c>
      <c r="F8" s="36" t="s">
        <v>480</v>
      </c>
      <c r="G8" s="36" t="s">
        <v>106</v>
      </c>
      <c r="H8" s="36" t="s">
        <v>107</v>
      </c>
      <c r="I8" s="37">
        <v>46220.0</v>
      </c>
      <c r="J8" s="38" t="s">
        <v>335</v>
      </c>
      <c r="K8" s="36"/>
      <c r="L8" s="39" t="str">
        <f t="shared" si="3"/>
        <v>0x10</v>
      </c>
      <c r="M8" s="40" t="str">
        <f t="shared" si="4"/>
        <v>0x00</v>
      </c>
      <c r="N8" s="40" t="str">
        <f t="shared" si="5"/>
        <v>0x0F</v>
      </c>
      <c r="O8" s="42">
        <v>2.0</v>
      </c>
      <c r="P8" s="42" t="str">
        <f t="shared" si="6"/>
        <v>0x0F</v>
      </c>
      <c r="Q8" s="48" t="str">
        <f t="shared" si="7"/>
        <v>0x51</v>
      </c>
      <c r="R8" s="48" t="str">
        <f t="shared" si="8"/>
        <v>0x55</v>
      </c>
      <c r="S8" s="48"/>
      <c r="T8" s="42"/>
      <c r="U8" s="48"/>
      <c r="V8" s="48"/>
      <c r="W8" s="48"/>
      <c r="X8" s="40">
        <v>15.0</v>
      </c>
      <c r="Y8" s="40" t="str">
        <f t="shared" ref="Y8:AI8" si="15">"0x" &amp; MID($B8,$X8  + 2*(COLUMN() - COLUMN($Y8)), 2)</f>
        <v>0x58</v>
      </c>
      <c r="Z8" s="40" t="str">
        <f t="shared" si="15"/>
        <v>0xF4</v>
      </c>
      <c r="AA8" s="40" t="str">
        <f t="shared" si="15"/>
        <v>0x48</v>
      </c>
      <c r="AB8" s="40" t="str">
        <f t="shared" si="15"/>
        <v>0x82</v>
      </c>
      <c r="AC8" s="40" t="str">
        <f t="shared" si="15"/>
        <v>0xD1</v>
      </c>
      <c r="AD8" s="40" t="str">
        <f t="shared" si="15"/>
        <v>0x46</v>
      </c>
      <c r="AE8" s="40" t="str">
        <f t="shared" si="15"/>
        <v>0x02</v>
      </c>
      <c r="AF8" s="40" t="str">
        <f t="shared" si="15"/>
        <v>0x3E</v>
      </c>
      <c r="AG8" s="40" t="str">
        <f t="shared" si="15"/>
        <v>0xD0</v>
      </c>
      <c r="AH8" s="40" t="str">
        <f t="shared" si="15"/>
        <v>0x65</v>
      </c>
      <c r="AI8" s="40" t="str">
        <f t="shared" si="15"/>
        <v>0x05</v>
      </c>
      <c r="AJ8" s="40"/>
      <c r="AK8" s="40"/>
      <c r="AL8" s="40"/>
      <c r="AM8" s="40"/>
      <c r="AN8" s="40"/>
      <c r="AO8" s="40"/>
      <c r="AP8" s="75"/>
    </row>
    <row r="9">
      <c r="A9" s="51" t="str">
        <f t="shared" si="2"/>
        <v>E911</v>
      </c>
      <c r="B9" s="52" t="str">
        <f>IFERROR(__xludf.DUMMYFUNCTION("REGEXREPLACE($J9, ""(?i)^8301(E000|E100|E200|E300)?"", """")"),"E911002A0F5D5358F44882D1460602D06543B0")</f>
        <v>E911002A0F5D5358F44882D1460602D06543B0</v>
      </c>
      <c r="C9" s="65" t="s">
        <v>477</v>
      </c>
      <c r="D9" s="65" t="s">
        <v>488</v>
      </c>
      <c r="E9" s="65" t="s">
        <v>480</v>
      </c>
      <c r="F9" s="65" t="s">
        <v>480</v>
      </c>
      <c r="G9" s="65" t="s">
        <v>75</v>
      </c>
      <c r="H9" s="65" t="s">
        <v>76</v>
      </c>
      <c r="I9" s="67">
        <v>46208.0</v>
      </c>
      <c r="J9" s="68" t="s">
        <v>369</v>
      </c>
      <c r="K9" s="65"/>
      <c r="L9" s="57" t="str">
        <f t="shared" si="3"/>
        <v>0x11</v>
      </c>
      <c r="M9" s="58" t="str">
        <f t="shared" si="4"/>
        <v>0x00</v>
      </c>
      <c r="N9" s="58" t="str">
        <f t="shared" si="5"/>
        <v>0x2A</v>
      </c>
      <c r="O9" s="82">
        <v>2.0</v>
      </c>
      <c r="P9" s="83" t="str">
        <f t="shared" si="6"/>
        <v>0x0F</v>
      </c>
      <c r="Q9" s="84" t="str">
        <f t="shared" si="7"/>
        <v>0x5D</v>
      </c>
      <c r="R9" s="84" t="str">
        <f t="shared" si="8"/>
        <v>0x53</v>
      </c>
      <c r="S9" s="85"/>
      <c r="T9" s="86"/>
      <c r="U9" s="85"/>
      <c r="V9" s="85"/>
      <c r="W9" s="85"/>
      <c r="X9" s="87">
        <v>15.0</v>
      </c>
      <c r="Y9" s="58" t="str">
        <f t="shared" ref="Y9:AI9" si="16">"0x" &amp; MID($B9,$X9  + 2*(COLUMN() - COLUMN($Y9)), 2)</f>
        <v>0x58</v>
      </c>
      <c r="Z9" s="58" t="str">
        <f t="shared" si="16"/>
        <v>0xF4</v>
      </c>
      <c r="AA9" s="58" t="str">
        <f t="shared" si="16"/>
        <v>0x48</v>
      </c>
      <c r="AB9" s="58" t="str">
        <f t="shared" si="16"/>
        <v>0x82</v>
      </c>
      <c r="AC9" s="58" t="str">
        <f t="shared" si="16"/>
        <v>0xD1</v>
      </c>
      <c r="AD9" s="58" t="str">
        <f t="shared" si="16"/>
        <v>0x46</v>
      </c>
      <c r="AE9" s="58" t="str">
        <f t="shared" si="16"/>
        <v>0x06</v>
      </c>
      <c r="AF9" s="58" t="str">
        <f t="shared" si="16"/>
        <v>0x02</v>
      </c>
      <c r="AG9" s="58" t="str">
        <f t="shared" si="16"/>
        <v>0xD0</v>
      </c>
      <c r="AH9" s="58" t="str">
        <f t="shared" si="16"/>
        <v>0x65</v>
      </c>
      <c r="AI9" s="58" t="str">
        <f t="shared" si="16"/>
        <v>0x43</v>
      </c>
      <c r="AJ9" s="58"/>
      <c r="AK9" s="58"/>
      <c r="AL9" s="58"/>
      <c r="AM9" s="58"/>
      <c r="AN9" s="58"/>
      <c r="AO9" s="58"/>
      <c r="AP9" s="74" t="str">
        <f>"0x"&amp;MID($B9,37,2)</f>
        <v>0xB0</v>
      </c>
    </row>
    <row r="10">
      <c r="A10" s="33" t="str">
        <f t="shared" si="2"/>
        <v>E910</v>
      </c>
      <c r="B10" s="34" t="str">
        <f>IFERROR(__xludf.DUMMYFUNCTION("REGEXREPLACE($J10, ""(?i)^8301(E000|E100|E200|E300)?"", """")"),"E910002A0F5D4058F44882D1460604D06543")</f>
        <v>E910002A0F5D4058F44882D1460604D06543</v>
      </c>
      <c r="C10" s="36" t="s">
        <v>490</v>
      </c>
      <c r="D10" s="36" t="s">
        <v>488</v>
      </c>
      <c r="E10" s="36" t="s">
        <v>480</v>
      </c>
      <c r="F10" s="36" t="s">
        <v>480</v>
      </c>
      <c r="G10" s="36" t="s">
        <v>106</v>
      </c>
      <c r="H10" s="36" t="s">
        <v>107</v>
      </c>
      <c r="I10" s="37">
        <v>46220.0</v>
      </c>
      <c r="J10" s="38" t="s">
        <v>347</v>
      </c>
      <c r="K10" s="36"/>
      <c r="L10" s="39" t="str">
        <f t="shared" si="3"/>
        <v>0x10</v>
      </c>
      <c r="M10" s="40" t="str">
        <f t="shared" si="4"/>
        <v>0x00</v>
      </c>
      <c r="N10" s="40" t="str">
        <f t="shared" si="5"/>
        <v>0x2A</v>
      </c>
      <c r="O10" s="42">
        <v>2.0</v>
      </c>
      <c r="P10" s="42" t="str">
        <f t="shared" si="6"/>
        <v>0x0F</v>
      </c>
      <c r="Q10" s="48" t="str">
        <f t="shared" si="7"/>
        <v>0x5D</v>
      </c>
      <c r="R10" s="48" t="str">
        <f t="shared" si="8"/>
        <v>0x40</v>
      </c>
      <c r="S10" s="48"/>
      <c r="T10" s="42"/>
      <c r="U10" s="48"/>
      <c r="V10" s="48"/>
      <c r="W10" s="48"/>
      <c r="X10" s="40">
        <v>15.0</v>
      </c>
      <c r="Y10" s="40" t="str">
        <f t="shared" ref="Y10:AI10" si="17">"0x" &amp; MID($B10,$X10  + 2*(COLUMN() - COLUMN($Y10)), 2)</f>
        <v>0x58</v>
      </c>
      <c r="Z10" s="40" t="str">
        <f t="shared" si="17"/>
        <v>0xF4</v>
      </c>
      <c r="AA10" s="40" t="str">
        <f t="shared" si="17"/>
        <v>0x48</v>
      </c>
      <c r="AB10" s="40" t="str">
        <f t="shared" si="17"/>
        <v>0x82</v>
      </c>
      <c r="AC10" s="40" t="str">
        <f t="shared" si="17"/>
        <v>0xD1</v>
      </c>
      <c r="AD10" s="40" t="str">
        <f t="shared" si="17"/>
        <v>0x46</v>
      </c>
      <c r="AE10" s="40" t="str">
        <f t="shared" si="17"/>
        <v>0x06</v>
      </c>
      <c r="AF10" s="40" t="str">
        <f t="shared" si="17"/>
        <v>0x04</v>
      </c>
      <c r="AG10" s="40" t="str">
        <f t="shared" si="17"/>
        <v>0xD0</v>
      </c>
      <c r="AH10" s="40" t="str">
        <f t="shared" si="17"/>
        <v>0x65</v>
      </c>
      <c r="AI10" s="40" t="str">
        <f t="shared" si="17"/>
        <v>0x43</v>
      </c>
      <c r="AJ10" s="40"/>
      <c r="AK10" s="40"/>
      <c r="AL10" s="40"/>
      <c r="AM10" s="40"/>
      <c r="AN10" s="40"/>
      <c r="AO10" s="40"/>
      <c r="AP10" s="75"/>
    </row>
    <row r="11">
      <c r="A11" s="51" t="str">
        <f t="shared" si="2"/>
        <v>E911</v>
      </c>
      <c r="B11" s="52" t="str">
        <f>IFERROR(__xludf.DUMMYFUNCTION("REGEXREPLACE($J11, ""(?i)^8301(E000|E100|E200|E300)?"", """")"),"E911000F0F444F58F44882D146060AD06543B0")</f>
        <v>E911000F0F444F58F44882D146060AD06543B0</v>
      </c>
      <c r="C11" s="65" t="s">
        <v>484</v>
      </c>
      <c r="D11" s="65" t="s">
        <v>491</v>
      </c>
      <c r="E11" s="65" t="s">
        <v>480</v>
      </c>
      <c r="F11" s="65" t="s">
        <v>480</v>
      </c>
      <c r="G11" s="65" t="s">
        <v>75</v>
      </c>
      <c r="H11" s="65" t="s">
        <v>120</v>
      </c>
      <c r="I11" s="67">
        <v>46219.0</v>
      </c>
      <c r="J11" s="68" t="s">
        <v>361</v>
      </c>
      <c r="K11" s="65"/>
      <c r="L11" s="57" t="str">
        <f t="shared" si="3"/>
        <v>0x11</v>
      </c>
      <c r="M11" s="58" t="str">
        <f t="shared" si="4"/>
        <v>0x00</v>
      </c>
      <c r="N11" s="58" t="str">
        <f t="shared" si="5"/>
        <v>0x0F</v>
      </c>
      <c r="O11" s="82">
        <v>2.0</v>
      </c>
      <c r="P11" s="83" t="str">
        <f t="shared" si="6"/>
        <v>0x0F</v>
      </c>
      <c r="Q11" s="84" t="str">
        <f t="shared" si="7"/>
        <v>0x44</v>
      </c>
      <c r="R11" s="84" t="str">
        <f t="shared" si="8"/>
        <v>0x4F</v>
      </c>
      <c r="S11" s="85"/>
      <c r="T11" s="86"/>
      <c r="U11" s="85"/>
      <c r="V11" s="85"/>
      <c r="W11" s="85"/>
      <c r="X11" s="87">
        <v>15.0</v>
      </c>
      <c r="Y11" s="58" t="str">
        <f t="shared" ref="Y11:AI11" si="18">"0x" &amp; MID($B11,$X11  + 2*(COLUMN() - COLUMN($Y11)), 2)</f>
        <v>0x58</v>
      </c>
      <c r="Z11" s="58" t="str">
        <f t="shared" si="18"/>
        <v>0xF4</v>
      </c>
      <c r="AA11" s="58" t="str">
        <f t="shared" si="18"/>
        <v>0x48</v>
      </c>
      <c r="AB11" s="58" t="str">
        <f t="shared" si="18"/>
        <v>0x82</v>
      </c>
      <c r="AC11" s="58" t="str">
        <f t="shared" si="18"/>
        <v>0xD1</v>
      </c>
      <c r="AD11" s="58" t="str">
        <f t="shared" si="18"/>
        <v>0x46</v>
      </c>
      <c r="AE11" s="58" t="str">
        <f t="shared" si="18"/>
        <v>0x06</v>
      </c>
      <c r="AF11" s="58" t="str">
        <f t="shared" si="18"/>
        <v>0x0A</v>
      </c>
      <c r="AG11" s="58" t="str">
        <f t="shared" si="18"/>
        <v>0xD0</v>
      </c>
      <c r="AH11" s="58" t="str">
        <f t="shared" si="18"/>
        <v>0x65</v>
      </c>
      <c r="AI11" s="58" t="str">
        <f t="shared" si="18"/>
        <v>0x43</v>
      </c>
      <c r="AJ11" s="58"/>
      <c r="AK11" s="58"/>
      <c r="AL11" s="58"/>
      <c r="AM11" s="58"/>
      <c r="AN11" s="58"/>
      <c r="AO11" s="58"/>
      <c r="AP11" s="74" t="str">
        <f t="shared" ref="AP11:AP15" si="20">"0x"&amp;MID($B11,37,2)</f>
        <v>0xB0</v>
      </c>
    </row>
    <row r="12">
      <c r="A12" s="33" t="str">
        <f t="shared" si="2"/>
        <v>E911</v>
      </c>
      <c r="B12" s="34" t="str">
        <f>IFERROR(__xludf.DUMMYFUNCTION("REGEXREPLACE($J12, ""(?i)^8301(E000|E100|E200|E300)?"", """")"),"E91100440F475558F44882D1460607D06536B0")</f>
        <v>E91100440F475558F44882D1460607D06536B0</v>
      </c>
      <c r="C12" s="36" t="s">
        <v>484</v>
      </c>
      <c r="D12" s="36" t="s">
        <v>492</v>
      </c>
      <c r="E12" s="36" t="s">
        <v>480</v>
      </c>
      <c r="F12" s="36" t="s">
        <v>479</v>
      </c>
      <c r="G12" s="36" t="s">
        <v>129</v>
      </c>
      <c r="H12" s="36" t="s">
        <v>137</v>
      </c>
      <c r="I12" s="37">
        <v>46207.0</v>
      </c>
      <c r="J12" s="44" t="s">
        <v>372</v>
      </c>
      <c r="K12" s="36"/>
      <c r="L12" s="39" t="str">
        <f t="shared" si="3"/>
        <v>0x11</v>
      </c>
      <c r="M12" s="40" t="str">
        <f t="shared" si="4"/>
        <v>0x00</v>
      </c>
      <c r="N12" s="40" t="str">
        <f t="shared" si="5"/>
        <v>0x44</v>
      </c>
      <c r="O12" s="77">
        <v>2.0</v>
      </c>
      <c r="P12" s="78" t="str">
        <f t="shared" si="6"/>
        <v>0x0F</v>
      </c>
      <c r="Q12" s="72" t="str">
        <f t="shared" si="7"/>
        <v>0x47</v>
      </c>
      <c r="R12" s="72" t="str">
        <f t="shared" si="8"/>
        <v>0x55</v>
      </c>
      <c r="S12" s="79"/>
      <c r="T12" s="80"/>
      <c r="U12" s="79"/>
      <c r="V12" s="79"/>
      <c r="W12" s="79"/>
      <c r="X12" s="81">
        <v>15.0</v>
      </c>
      <c r="Y12" s="40" t="str">
        <f t="shared" ref="Y12:AI12" si="19">"0x" &amp; MID($B12,$X12  + 2*(COLUMN() - COLUMN($Y12)), 2)</f>
        <v>0x58</v>
      </c>
      <c r="Z12" s="40" t="str">
        <f t="shared" si="19"/>
        <v>0xF4</v>
      </c>
      <c r="AA12" s="40" t="str">
        <f t="shared" si="19"/>
        <v>0x48</v>
      </c>
      <c r="AB12" s="40" t="str">
        <f t="shared" si="19"/>
        <v>0x82</v>
      </c>
      <c r="AC12" s="40" t="str">
        <f t="shared" si="19"/>
        <v>0xD1</v>
      </c>
      <c r="AD12" s="40" t="str">
        <f t="shared" si="19"/>
        <v>0x46</v>
      </c>
      <c r="AE12" s="40" t="str">
        <f t="shared" si="19"/>
        <v>0x06</v>
      </c>
      <c r="AF12" s="40" t="str">
        <f t="shared" si="19"/>
        <v>0x07</v>
      </c>
      <c r="AG12" s="40" t="str">
        <f t="shared" si="19"/>
        <v>0xD0</v>
      </c>
      <c r="AH12" s="40" t="str">
        <f t="shared" si="19"/>
        <v>0x65</v>
      </c>
      <c r="AI12" s="40" t="str">
        <f t="shared" si="19"/>
        <v>0x36</v>
      </c>
      <c r="AJ12" s="40"/>
      <c r="AK12" s="40"/>
      <c r="AL12" s="40"/>
      <c r="AM12" s="40"/>
      <c r="AN12" s="40"/>
      <c r="AO12" s="40"/>
      <c r="AP12" s="64" t="str">
        <f t="shared" si="20"/>
        <v>0xB0</v>
      </c>
    </row>
    <row r="13">
      <c r="A13" s="51" t="str">
        <f t="shared" si="2"/>
        <v>E911</v>
      </c>
      <c r="B13" s="52" t="str">
        <f>IFERROR(__xludf.DUMMYFUNCTION("REGEXREPLACE($J13, ""(?i)^8301(E000|E100|E200|E300)?"", """")"),"E911004F0F444F58F44882D1460607D06543B0")</f>
        <v>E911004F0F444F58F44882D1460607D06543B0</v>
      </c>
      <c r="C13" s="65" t="s">
        <v>484</v>
      </c>
      <c r="D13" s="65" t="s">
        <v>494</v>
      </c>
      <c r="E13" s="65" t="s">
        <v>480</v>
      </c>
      <c r="F13" s="65" t="s">
        <v>480</v>
      </c>
      <c r="G13" s="65" t="s">
        <v>75</v>
      </c>
      <c r="H13" s="65" t="s">
        <v>120</v>
      </c>
      <c r="I13" s="67">
        <v>46219.0</v>
      </c>
      <c r="J13" s="68" t="s">
        <v>375</v>
      </c>
      <c r="K13" s="65"/>
      <c r="L13" s="57" t="str">
        <f t="shared" si="3"/>
        <v>0x11</v>
      </c>
      <c r="M13" s="58" t="str">
        <f t="shared" si="4"/>
        <v>0x00</v>
      </c>
      <c r="N13" s="58" t="str">
        <f t="shared" si="5"/>
        <v>0x4F</v>
      </c>
      <c r="O13" s="82">
        <v>2.0</v>
      </c>
      <c r="P13" s="83" t="str">
        <f t="shared" si="6"/>
        <v>0x0F</v>
      </c>
      <c r="Q13" s="84" t="str">
        <f t="shared" si="7"/>
        <v>0x44</v>
      </c>
      <c r="R13" s="84" t="str">
        <f t="shared" si="8"/>
        <v>0x4F</v>
      </c>
      <c r="S13" s="85"/>
      <c r="T13" s="86"/>
      <c r="U13" s="85"/>
      <c r="V13" s="85"/>
      <c r="W13" s="85"/>
      <c r="X13" s="87">
        <v>15.0</v>
      </c>
      <c r="Y13" s="58" t="str">
        <f t="shared" ref="Y13:AI13" si="21">"0x" &amp; MID($B13,$X13  + 2*(COLUMN() - COLUMN($Y13)), 2)</f>
        <v>0x58</v>
      </c>
      <c r="Z13" s="58" t="str">
        <f t="shared" si="21"/>
        <v>0xF4</v>
      </c>
      <c r="AA13" s="58" t="str">
        <f t="shared" si="21"/>
        <v>0x48</v>
      </c>
      <c r="AB13" s="58" t="str">
        <f t="shared" si="21"/>
        <v>0x82</v>
      </c>
      <c r="AC13" s="58" t="str">
        <f t="shared" si="21"/>
        <v>0xD1</v>
      </c>
      <c r="AD13" s="58" t="str">
        <f t="shared" si="21"/>
        <v>0x46</v>
      </c>
      <c r="AE13" s="58" t="str">
        <f t="shared" si="21"/>
        <v>0x06</v>
      </c>
      <c r="AF13" s="58" t="str">
        <f t="shared" si="21"/>
        <v>0x07</v>
      </c>
      <c r="AG13" s="58" t="str">
        <f t="shared" si="21"/>
        <v>0xD0</v>
      </c>
      <c r="AH13" s="58" t="str">
        <f t="shared" si="21"/>
        <v>0x65</v>
      </c>
      <c r="AI13" s="58" t="str">
        <f t="shared" si="21"/>
        <v>0x43</v>
      </c>
      <c r="AJ13" s="58"/>
      <c r="AK13" s="58"/>
      <c r="AL13" s="58"/>
      <c r="AM13" s="58"/>
      <c r="AN13" s="58"/>
      <c r="AO13" s="58"/>
      <c r="AP13" s="74" t="str">
        <f t="shared" si="20"/>
        <v>0xB0</v>
      </c>
    </row>
    <row r="14">
      <c r="A14" s="33" t="str">
        <f t="shared" si="2"/>
        <v>E911</v>
      </c>
      <c r="B14" s="34" t="str">
        <f>IFERROR(__xludf.DUMMYFUNCTION("REGEXREPLACE($J14, ""(?i)^8301(E000|E100|E200|E300)?"", """")"),"E91100540F545158F44882D1460507D06532B0")</f>
        <v>E91100540F545158F44882D1460507D06532B0</v>
      </c>
      <c r="C14" s="36" t="s">
        <v>484</v>
      </c>
      <c r="D14" s="36" t="s">
        <v>495</v>
      </c>
      <c r="E14" s="36" t="s">
        <v>480</v>
      </c>
      <c r="F14" s="36" t="s">
        <v>480</v>
      </c>
      <c r="G14" s="36" t="s">
        <v>217</v>
      </c>
      <c r="H14" s="36" t="s">
        <v>218</v>
      </c>
      <c r="I14" s="37">
        <v>46244.0</v>
      </c>
      <c r="J14" s="38" t="s">
        <v>458</v>
      </c>
      <c r="K14" s="36"/>
      <c r="L14" s="39" t="str">
        <f t="shared" si="3"/>
        <v>0x11</v>
      </c>
      <c r="M14" s="40" t="str">
        <f t="shared" si="4"/>
        <v>0x00</v>
      </c>
      <c r="N14" s="40" t="str">
        <f t="shared" si="5"/>
        <v>0x54</v>
      </c>
      <c r="O14" s="77">
        <v>2.0</v>
      </c>
      <c r="P14" s="78" t="str">
        <f t="shared" si="6"/>
        <v>0x0F</v>
      </c>
      <c r="Q14" s="72" t="str">
        <f t="shared" si="7"/>
        <v>0x54</v>
      </c>
      <c r="R14" s="72" t="str">
        <f t="shared" si="8"/>
        <v>0x51</v>
      </c>
      <c r="S14" s="79"/>
      <c r="T14" s="80"/>
      <c r="U14" s="79"/>
      <c r="V14" s="79"/>
      <c r="W14" s="79"/>
      <c r="X14" s="81">
        <v>15.0</v>
      </c>
      <c r="Y14" s="40" t="str">
        <f t="shared" ref="Y14:AI14" si="22">"0x" &amp; MID($B14,$X14  + 2*(COLUMN() - COLUMN($Y14)), 2)</f>
        <v>0x58</v>
      </c>
      <c r="Z14" s="40" t="str">
        <f t="shared" si="22"/>
        <v>0xF4</v>
      </c>
      <c r="AA14" s="40" t="str">
        <f t="shared" si="22"/>
        <v>0x48</v>
      </c>
      <c r="AB14" s="40" t="str">
        <f t="shared" si="22"/>
        <v>0x82</v>
      </c>
      <c r="AC14" s="40" t="str">
        <f t="shared" si="22"/>
        <v>0xD1</v>
      </c>
      <c r="AD14" s="40" t="str">
        <f t="shared" si="22"/>
        <v>0x46</v>
      </c>
      <c r="AE14" s="40" t="str">
        <f t="shared" si="22"/>
        <v>0x05</v>
      </c>
      <c r="AF14" s="40" t="str">
        <f t="shared" si="22"/>
        <v>0x07</v>
      </c>
      <c r="AG14" s="40" t="str">
        <f t="shared" si="22"/>
        <v>0xD0</v>
      </c>
      <c r="AH14" s="40" t="str">
        <f t="shared" si="22"/>
        <v>0x65</v>
      </c>
      <c r="AI14" s="40" t="str">
        <f t="shared" si="22"/>
        <v>0x32</v>
      </c>
      <c r="AJ14" s="40"/>
      <c r="AK14" s="40"/>
      <c r="AL14" s="40"/>
      <c r="AM14" s="40"/>
      <c r="AN14" s="40"/>
      <c r="AO14" s="40"/>
      <c r="AP14" s="64" t="str">
        <f t="shared" si="20"/>
        <v>0xB0</v>
      </c>
    </row>
    <row r="15">
      <c r="A15" s="51" t="str">
        <f t="shared" si="2"/>
        <v>E911</v>
      </c>
      <c r="B15" s="52" t="str">
        <f>IFERROR(__xludf.DUMMYFUNCTION("REGEXREPLACE($J15, ""(?i)^8301(E000|E100|E200|E300)?"", """")"),"E911006F0F445B58F44882D1460609D06543B0")</f>
        <v>E911006F0F445B58F44882D1460609D06543B0</v>
      </c>
      <c r="C15" s="65" t="s">
        <v>484</v>
      </c>
      <c r="D15" s="65" t="s">
        <v>496</v>
      </c>
      <c r="E15" s="65" t="s">
        <v>480</v>
      </c>
      <c r="F15" s="65" t="s">
        <v>480</v>
      </c>
      <c r="G15" s="65" t="s">
        <v>75</v>
      </c>
      <c r="H15" s="65" t="s">
        <v>76</v>
      </c>
      <c r="I15" s="67">
        <v>46208.0</v>
      </c>
      <c r="J15" s="68" t="s">
        <v>384</v>
      </c>
      <c r="K15" s="65"/>
      <c r="L15" s="57" t="str">
        <f t="shared" si="3"/>
        <v>0x11</v>
      </c>
      <c r="M15" s="58" t="str">
        <f t="shared" si="4"/>
        <v>0x00</v>
      </c>
      <c r="N15" s="58" t="str">
        <f t="shared" si="5"/>
        <v>0x6F</v>
      </c>
      <c r="O15" s="82">
        <v>2.0</v>
      </c>
      <c r="P15" s="83" t="str">
        <f t="shared" si="6"/>
        <v>0x0F</v>
      </c>
      <c r="Q15" s="84" t="str">
        <f t="shared" si="7"/>
        <v>0x44</v>
      </c>
      <c r="R15" s="84" t="str">
        <f t="shared" si="8"/>
        <v>0x5B</v>
      </c>
      <c r="S15" s="85"/>
      <c r="T15" s="86"/>
      <c r="U15" s="85"/>
      <c r="V15" s="85"/>
      <c r="W15" s="85"/>
      <c r="X15" s="87">
        <v>15.0</v>
      </c>
      <c r="Y15" s="58" t="str">
        <f t="shared" ref="Y15:AI15" si="23">"0x" &amp; MID($B15,$X15  + 2*(COLUMN() - COLUMN($Y15)), 2)</f>
        <v>0x58</v>
      </c>
      <c r="Z15" s="58" t="str">
        <f t="shared" si="23"/>
        <v>0xF4</v>
      </c>
      <c r="AA15" s="58" t="str">
        <f t="shared" si="23"/>
        <v>0x48</v>
      </c>
      <c r="AB15" s="58" t="str">
        <f t="shared" si="23"/>
        <v>0x82</v>
      </c>
      <c r="AC15" s="58" t="str">
        <f t="shared" si="23"/>
        <v>0xD1</v>
      </c>
      <c r="AD15" s="58" t="str">
        <f t="shared" si="23"/>
        <v>0x46</v>
      </c>
      <c r="AE15" s="58" t="str">
        <f t="shared" si="23"/>
        <v>0x06</v>
      </c>
      <c r="AF15" s="58" t="str">
        <f t="shared" si="23"/>
        <v>0x09</v>
      </c>
      <c r="AG15" s="58" t="str">
        <f t="shared" si="23"/>
        <v>0xD0</v>
      </c>
      <c r="AH15" s="58" t="str">
        <f t="shared" si="23"/>
        <v>0x65</v>
      </c>
      <c r="AI15" s="58" t="str">
        <f t="shared" si="23"/>
        <v>0x43</v>
      </c>
      <c r="AJ15" s="58"/>
      <c r="AK15" s="58"/>
      <c r="AL15" s="58"/>
      <c r="AM15" s="58"/>
      <c r="AN15" s="58"/>
      <c r="AO15" s="58"/>
      <c r="AP15" s="74" t="str">
        <f t="shared" si="20"/>
        <v>0xB0</v>
      </c>
    </row>
  </sheetData>
  <autoFilter ref="$A$1:$AP$15">
    <sortState ref="A1:AP15">
      <sortCondition ref="E1:E15"/>
      <sortCondition ref="C1:C15"/>
      <sortCondition ref="B1:B15"/>
      <sortCondition ref="Y1:Y15"/>
      <sortCondition ref="P1:P15"/>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hidden="1" min="5" max="5" width="10.5"/>
    <col customWidth="1" hidden="1" min="6" max="6" width="14.75"/>
    <col customWidth="1" hidden="1" min="7" max="7" width="9.5"/>
    <col customWidth="1" hidden="1" min="8" max="8" width="53.0"/>
    <col customWidth="1" hidden="1" min="9" max="9" width="12.63"/>
    <col customWidth="1" min="10" max="10" width="9.0"/>
    <col customWidth="1" min="11" max="11" width="5.88"/>
    <col customWidth="1" min="12" max="12" width="5.75"/>
    <col customWidth="1" min="13" max="13" width="4.38"/>
    <col customWidth="1" min="14" max="14" width="7.0"/>
    <col customWidth="1" min="15" max="16" width="5.63"/>
    <col customWidth="1" hidden="1" min="17" max="17" width="5.63"/>
    <col customWidth="1" hidden="1" min="18" max="18" width="7.0"/>
    <col customWidth="1" hidden="1" min="19" max="21" width="5.63"/>
    <col customWidth="1" min="22" max="22" width="7.25"/>
    <col customWidth="1" min="23" max="33" width="6.38"/>
    <col customWidth="1" min="34" max="34" width="6.25"/>
    <col customWidth="1" min="35" max="37" width="6.38"/>
    <col customWidth="1" hidden="1" min="38" max="39" width="6.38"/>
    <col customWidth="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c r="A2" s="33" t="str">
        <f t="shared" ref="A2:A19" si="2">LEFT($B2, 4)</f>
        <v>E90F</v>
      </c>
      <c r="B2" s="34" t="str">
        <f>IFERROR(__xludf.DUMMYFUNCTION("REGEXREPLACE($H2, ""(?i)^8301(E000|E100|E200|E300)?"", """")"),"E90F00010F555B5807488DD2462A0717B0")</f>
        <v>E90F00010F555B5807488DD2462A0717B0</v>
      </c>
      <c r="C2" s="36" t="s">
        <v>25</v>
      </c>
      <c r="D2" s="36"/>
      <c r="E2" s="36" t="s">
        <v>217</v>
      </c>
      <c r="F2" s="36" t="s">
        <v>218</v>
      </c>
      <c r="G2" s="37">
        <v>46244.0</v>
      </c>
      <c r="H2" s="38" t="s">
        <v>461</v>
      </c>
      <c r="I2" s="36"/>
      <c r="J2" s="39" t="str">
        <f t="shared" ref="J2:J19" si="3">"0x"&amp;mid($B2,3,2)</f>
        <v>0x0F</v>
      </c>
      <c r="K2" s="40" t="str">
        <f t="shared" ref="K2:K19" si="4">"0x"&amp;MID($B2,5,2)</f>
        <v>0x00</v>
      </c>
      <c r="L2" s="40" t="str">
        <f t="shared" ref="L2:L19" si="5">"0x"&amp;MID($B2,7,2)</f>
        <v>0x01</v>
      </c>
      <c r="M2" s="42">
        <v>2.0</v>
      </c>
      <c r="N2" s="42" t="str">
        <f t="shared" ref="N2:N19" si="6">"0x"&amp;MID($B2,9,2)</f>
        <v>0x0F</v>
      </c>
      <c r="O2" s="48" t="str">
        <f t="shared" ref="O2:O19" si="7">"0x"&amp;MID($B2,11,2)</f>
        <v>0x55</v>
      </c>
      <c r="P2" s="48" t="str">
        <f t="shared" ref="P2:P19" si="8">"0x"&amp;MID($B2,13,2)</f>
        <v>0x5B</v>
      </c>
      <c r="Q2" s="45"/>
      <c r="R2" s="46"/>
      <c r="S2" s="45"/>
      <c r="T2" s="45"/>
      <c r="U2" s="45"/>
      <c r="V2" s="40">
        <v>15.0</v>
      </c>
      <c r="W2" s="40" t="str">
        <f t="shared" ref="W2:AE2" si="1">"0x" &amp; MID($B2,$V2  + 2*(COLUMN() - COLUMN($W2)), 2)</f>
        <v>0x58</v>
      </c>
      <c r="X2" s="40" t="str">
        <f t="shared" si="1"/>
        <v>0x07</v>
      </c>
      <c r="Y2" s="40" t="str">
        <f t="shared" si="1"/>
        <v>0x48</v>
      </c>
      <c r="Z2" s="40" t="str">
        <f t="shared" si="1"/>
        <v>0x8D</v>
      </c>
      <c r="AA2" s="40" t="str">
        <f t="shared" si="1"/>
        <v>0xD2</v>
      </c>
      <c r="AB2" s="40" t="str">
        <f t="shared" si="1"/>
        <v>0x46</v>
      </c>
      <c r="AC2" s="40" t="str">
        <f t="shared" si="1"/>
        <v>0x2A</v>
      </c>
      <c r="AD2" s="40" t="str">
        <f t="shared" si="1"/>
        <v>0x07</v>
      </c>
      <c r="AE2" s="40" t="str">
        <f t="shared" si="1"/>
        <v>0x17</v>
      </c>
      <c r="AF2" s="40"/>
      <c r="AG2" s="40"/>
      <c r="AH2" s="40"/>
      <c r="AI2" s="40"/>
      <c r="AJ2" s="40"/>
      <c r="AK2" s="40"/>
      <c r="AL2" s="40"/>
      <c r="AM2" s="40"/>
      <c r="AN2" s="75" t="str">
        <f>"0x"&amp;MID($B2,33,2)</f>
        <v>0xB0</v>
      </c>
    </row>
    <row r="3">
      <c r="A3" s="51" t="str">
        <f t="shared" si="2"/>
        <v>E910</v>
      </c>
      <c r="B3" s="52" t="str">
        <f>IFERROR(__xludf.DUMMYFUNCTION("REGEXREPLACE($H3, ""(?i)^8301(E000|E100|E200|E300)?"", """")"),"E910000F0F535158F44882D1460214D06505")</f>
        <v>E910000F0F535158F44882D1460214D06505</v>
      </c>
      <c r="C3" s="65" t="s">
        <v>25</v>
      </c>
      <c r="D3" s="65" t="s">
        <v>482</v>
      </c>
      <c r="E3" s="65" t="s">
        <v>106</v>
      </c>
      <c r="F3" s="65" t="s">
        <v>107</v>
      </c>
      <c r="G3" s="67">
        <v>46220.0</v>
      </c>
      <c r="H3" s="68" t="s">
        <v>336</v>
      </c>
      <c r="I3" s="65"/>
      <c r="J3" s="57" t="str">
        <f t="shared" si="3"/>
        <v>0x10</v>
      </c>
      <c r="K3" s="58" t="str">
        <f t="shared" si="4"/>
        <v>0x00</v>
      </c>
      <c r="L3" s="58" t="str">
        <f t="shared" si="5"/>
        <v>0x0F</v>
      </c>
      <c r="M3" s="59">
        <v>2.0</v>
      </c>
      <c r="N3" s="59" t="str">
        <f t="shared" si="6"/>
        <v>0x0F</v>
      </c>
      <c r="O3" s="71" t="str">
        <f t="shared" si="7"/>
        <v>0x53</v>
      </c>
      <c r="P3" s="71" t="str">
        <f t="shared" si="8"/>
        <v>0x51</v>
      </c>
      <c r="Q3" s="71"/>
      <c r="R3" s="59"/>
      <c r="S3" s="71"/>
      <c r="T3" s="71"/>
      <c r="U3" s="71"/>
      <c r="V3" s="58">
        <v>15.0</v>
      </c>
      <c r="W3" s="58" t="str">
        <f t="shared" ref="W3:AG3" si="9">"0x" &amp; MID($B3,$V3  + 2*(COLUMN() - COLUMN($W3)), 2)</f>
        <v>0x58</v>
      </c>
      <c r="X3" s="58" t="str">
        <f t="shared" si="9"/>
        <v>0xF4</v>
      </c>
      <c r="Y3" s="58" t="str">
        <f t="shared" si="9"/>
        <v>0x48</v>
      </c>
      <c r="Z3" s="58" t="str">
        <f t="shared" si="9"/>
        <v>0x82</v>
      </c>
      <c r="AA3" s="58" t="str">
        <f t="shared" si="9"/>
        <v>0xD1</v>
      </c>
      <c r="AB3" s="58" t="str">
        <f t="shared" si="9"/>
        <v>0x46</v>
      </c>
      <c r="AC3" s="58" t="str">
        <f t="shared" si="9"/>
        <v>0x02</v>
      </c>
      <c r="AD3" s="58" t="str">
        <f t="shared" si="9"/>
        <v>0x14</v>
      </c>
      <c r="AE3" s="58" t="str">
        <f t="shared" si="9"/>
        <v>0xD0</v>
      </c>
      <c r="AF3" s="58" t="str">
        <f t="shared" si="9"/>
        <v>0x65</v>
      </c>
      <c r="AG3" s="58" t="str">
        <f t="shared" si="9"/>
        <v>0x05</v>
      </c>
      <c r="AH3" s="58"/>
      <c r="AI3" s="58"/>
      <c r="AJ3" s="58"/>
      <c r="AK3" s="58"/>
      <c r="AL3" s="58"/>
      <c r="AM3" s="58"/>
      <c r="AN3" s="88"/>
    </row>
    <row r="4">
      <c r="A4" s="33" t="str">
        <f t="shared" si="2"/>
        <v>E910</v>
      </c>
      <c r="B4" s="34" t="str">
        <f>IFERROR(__xludf.DUMMYFUNCTION("REGEXREPLACE($H4, ""(?i)^8301(E000|E100|E200|E300)?"", """")"),"E910000F0F535158F44882D146023ED06505")</f>
        <v>E910000F0F535158F44882D146023ED06505</v>
      </c>
      <c r="C4" s="36" t="s">
        <v>25</v>
      </c>
      <c r="D4" s="36" t="s">
        <v>482</v>
      </c>
      <c r="E4" s="36" t="s">
        <v>106</v>
      </c>
      <c r="F4" s="36" t="s">
        <v>107</v>
      </c>
      <c r="G4" s="37">
        <v>46220.0</v>
      </c>
      <c r="H4" s="38" t="s">
        <v>337</v>
      </c>
      <c r="I4" s="36"/>
      <c r="J4" s="39" t="str">
        <f t="shared" si="3"/>
        <v>0x10</v>
      </c>
      <c r="K4" s="40" t="str">
        <f t="shared" si="4"/>
        <v>0x00</v>
      </c>
      <c r="L4" s="40" t="str">
        <f t="shared" si="5"/>
        <v>0x0F</v>
      </c>
      <c r="M4" s="42">
        <v>2.0</v>
      </c>
      <c r="N4" s="42" t="str">
        <f t="shared" si="6"/>
        <v>0x0F</v>
      </c>
      <c r="O4" s="48" t="str">
        <f t="shared" si="7"/>
        <v>0x53</v>
      </c>
      <c r="P4" s="48" t="str">
        <f t="shared" si="8"/>
        <v>0x51</v>
      </c>
      <c r="Q4" s="48"/>
      <c r="R4" s="42"/>
      <c r="S4" s="48"/>
      <c r="T4" s="48"/>
      <c r="U4" s="48"/>
      <c r="V4" s="40">
        <v>15.0</v>
      </c>
      <c r="W4" s="40" t="str">
        <f t="shared" ref="W4:AG4" si="10">"0x" &amp; MID($B4,$V4  + 2*(COLUMN() - COLUMN($W4)), 2)</f>
        <v>0x58</v>
      </c>
      <c r="X4" s="40" t="str">
        <f t="shared" si="10"/>
        <v>0xF4</v>
      </c>
      <c r="Y4" s="40" t="str">
        <f t="shared" si="10"/>
        <v>0x48</v>
      </c>
      <c r="Z4" s="40" t="str">
        <f t="shared" si="10"/>
        <v>0x82</v>
      </c>
      <c r="AA4" s="40" t="str">
        <f t="shared" si="10"/>
        <v>0xD1</v>
      </c>
      <c r="AB4" s="40" t="str">
        <f t="shared" si="10"/>
        <v>0x46</v>
      </c>
      <c r="AC4" s="40" t="str">
        <f t="shared" si="10"/>
        <v>0x02</v>
      </c>
      <c r="AD4" s="40" t="str">
        <f t="shared" si="10"/>
        <v>0x3E</v>
      </c>
      <c r="AE4" s="40" t="str">
        <f t="shared" si="10"/>
        <v>0xD0</v>
      </c>
      <c r="AF4" s="40" t="str">
        <f t="shared" si="10"/>
        <v>0x65</v>
      </c>
      <c r="AG4" s="40" t="str">
        <f t="shared" si="10"/>
        <v>0x05</v>
      </c>
      <c r="AH4" s="40"/>
      <c r="AI4" s="40"/>
      <c r="AJ4" s="40"/>
      <c r="AK4" s="40"/>
      <c r="AL4" s="40"/>
      <c r="AM4" s="40"/>
      <c r="AN4" s="75"/>
    </row>
    <row r="5">
      <c r="A5" s="51" t="str">
        <f t="shared" si="2"/>
        <v>E910</v>
      </c>
      <c r="B5" s="52" t="str">
        <f>IFERROR(__xludf.DUMMYFUNCTION("REGEXREPLACE($H5, ""(?i)^8301(E000|E100|E200|E300)?"", """")"),"E910000F0F545D58F44882D146090AD06528")</f>
        <v>E910000F0F545D58F44882D146090AD06528</v>
      </c>
      <c r="C5" s="65" t="s">
        <v>25</v>
      </c>
      <c r="D5" s="65" t="s">
        <v>486</v>
      </c>
      <c r="E5" s="65" t="s">
        <v>129</v>
      </c>
      <c r="F5" s="54" t="s">
        <v>130</v>
      </c>
      <c r="G5" s="67">
        <v>46240.0</v>
      </c>
      <c r="H5" s="56" t="s">
        <v>353</v>
      </c>
      <c r="I5" s="65"/>
      <c r="J5" s="57" t="str">
        <f t="shared" si="3"/>
        <v>0x10</v>
      </c>
      <c r="K5" s="58" t="str">
        <f t="shared" si="4"/>
        <v>0x00</v>
      </c>
      <c r="L5" s="58" t="str">
        <f t="shared" si="5"/>
        <v>0x0F</v>
      </c>
      <c r="M5" s="59">
        <v>2.0</v>
      </c>
      <c r="N5" s="59" t="str">
        <f t="shared" si="6"/>
        <v>0x0F</v>
      </c>
      <c r="O5" s="71" t="str">
        <f t="shared" si="7"/>
        <v>0x54</v>
      </c>
      <c r="P5" s="71" t="str">
        <f t="shared" si="8"/>
        <v>0x5D</v>
      </c>
      <c r="Q5" s="71"/>
      <c r="R5" s="59"/>
      <c r="S5" s="71"/>
      <c r="T5" s="71"/>
      <c r="U5" s="71"/>
      <c r="V5" s="58">
        <v>15.0</v>
      </c>
      <c r="W5" s="58" t="str">
        <f t="shared" ref="W5:AG5" si="11">"0x" &amp; MID($B5,$V5  + 2*(COLUMN() - COLUMN($W5)), 2)</f>
        <v>0x58</v>
      </c>
      <c r="X5" s="58" t="str">
        <f t="shared" si="11"/>
        <v>0xF4</v>
      </c>
      <c r="Y5" s="58" t="str">
        <f t="shared" si="11"/>
        <v>0x48</v>
      </c>
      <c r="Z5" s="58" t="str">
        <f t="shared" si="11"/>
        <v>0x82</v>
      </c>
      <c r="AA5" s="58" t="str">
        <f t="shared" si="11"/>
        <v>0xD1</v>
      </c>
      <c r="AB5" s="58" t="str">
        <f t="shared" si="11"/>
        <v>0x46</v>
      </c>
      <c r="AC5" s="58" t="str">
        <f t="shared" si="11"/>
        <v>0x09</v>
      </c>
      <c r="AD5" s="58" t="str">
        <f t="shared" si="11"/>
        <v>0x0A</v>
      </c>
      <c r="AE5" s="58" t="str">
        <f t="shared" si="11"/>
        <v>0xD0</v>
      </c>
      <c r="AF5" s="58" t="str">
        <f t="shared" si="11"/>
        <v>0x65</v>
      </c>
      <c r="AG5" s="58" t="str">
        <f t="shared" si="11"/>
        <v>0x28</v>
      </c>
      <c r="AH5" s="58"/>
      <c r="AI5" s="58"/>
      <c r="AJ5" s="58"/>
      <c r="AK5" s="58"/>
      <c r="AL5" s="58"/>
      <c r="AM5" s="58"/>
      <c r="AN5" s="88"/>
    </row>
    <row r="6">
      <c r="A6" s="33" t="str">
        <f t="shared" si="2"/>
        <v>E910</v>
      </c>
      <c r="B6" s="34" t="str">
        <f>IFERROR(__xludf.DUMMYFUNCTION("REGEXREPLACE($H6, ""(?i)^8301(E000|E100|E200|E300)?"", """")"),"E91000120F4F4FD037F2D2412A06190100B9")</f>
        <v>E91000120F4F4FD037F2D2412A06190100B9</v>
      </c>
      <c r="C6" s="36" t="s">
        <v>25</v>
      </c>
      <c r="D6" s="36" t="s">
        <v>487</v>
      </c>
      <c r="E6" s="36" t="s">
        <v>129</v>
      </c>
      <c r="F6" s="36" t="s">
        <v>137</v>
      </c>
      <c r="G6" s="37">
        <v>46207.0</v>
      </c>
      <c r="H6" s="44" t="s">
        <v>340</v>
      </c>
      <c r="I6" s="36"/>
      <c r="J6" s="39" t="str">
        <f t="shared" si="3"/>
        <v>0x10</v>
      </c>
      <c r="K6" s="40" t="str">
        <f t="shared" si="4"/>
        <v>0x00</v>
      </c>
      <c r="L6" s="40" t="str">
        <f t="shared" si="5"/>
        <v>0x12</v>
      </c>
      <c r="M6" s="42">
        <v>2.0</v>
      </c>
      <c r="N6" s="42" t="str">
        <f t="shared" si="6"/>
        <v>0x0F</v>
      </c>
      <c r="O6" s="48" t="str">
        <f t="shared" si="7"/>
        <v>0x4F</v>
      </c>
      <c r="P6" s="48" t="str">
        <f t="shared" si="8"/>
        <v>0x4F</v>
      </c>
      <c r="Q6" s="48"/>
      <c r="R6" s="42"/>
      <c r="S6" s="48"/>
      <c r="T6" s="48"/>
      <c r="U6" s="48"/>
      <c r="V6" s="40">
        <v>15.0</v>
      </c>
      <c r="W6" s="40" t="str">
        <f t="shared" ref="W6:AG6" si="12">"0x" &amp; MID($B6,$V6  + 2*(COLUMN() - COLUMN($W6)), 2)</f>
        <v>0xD0</v>
      </c>
      <c r="X6" s="40" t="str">
        <f t="shared" si="12"/>
        <v>0x37</v>
      </c>
      <c r="Y6" s="40" t="str">
        <f t="shared" si="12"/>
        <v>0xF2</v>
      </c>
      <c r="Z6" s="40" t="str">
        <f t="shared" si="12"/>
        <v>0xD2</v>
      </c>
      <c r="AA6" s="40" t="str">
        <f t="shared" si="12"/>
        <v>0x41</v>
      </c>
      <c r="AB6" s="40" t="str">
        <f t="shared" si="12"/>
        <v>0x2A</v>
      </c>
      <c r="AC6" s="40" t="str">
        <f t="shared" si="12"/>
        <v>0x06</v>
      </c>
      <c r="AD6" s="40" t="str">
        <f t="shared" si="12"/>
        <v>0x19</v>
      </c>
      <c r="AE6" s="40" t="str">
        <f t="shared" si="12"/>
        <v>0x01</v>
      </c>
      <c r="AF6" s="40" t="str">
        <f t="shared" si="12"/>
        <v>0x00</v>
      </c>
      <c r="AG6" s="40" t="str">
        <f t="shared" si="12"/>
        <v>0xB9</v>
      </c>
      <c r="AH6" s="40"/>
      <c r="AI6" s="40"/>
      <c r="AJ6" s="40"/>
      <c r="AK6" s="40"/>
      <c r="AL6" s="40"/>
      <c r="AM6" s="40"/>
      <c r="AN6" s="75"/>
    </row>
    <row r="7">
      <c r="A7" s="51" t="str">
        <f t="shared" si="2"/>
        <v>E910</v>
      </c>
      <c r="B7" s="52" t="str">
        <f>IFERROR(__xludf.DUMMYFUNCTION("REGEXREPLACE($H7, ""(?i)^8301(E000|E100|E200|E300)?"", """")"),"E910002A0F5D4058F44882D1460601D06543")</f>
        <v>E910002A0F5D4058F44882D1460601D06543</v>
      </c>
      <c r="C7" s="65" t="s">
        <v>25</v>
      </c>
      <c r="D7" s="65" t="s">
        <v>489</v>
      </c>
      <c r="E7" s="65" t="s">
        <v>106</v>
      </c>
      <c r="F7" s="65" t="s">
        <v>107</v>
      </c>
      <c r="G7" s="67">
        <v>46220.0</v>
      </c>
      <c r="H7" s="68" t="s">
        <v>344</v>
      </c>
      <c r="I7" s="65"/>
      <c r="J7" s="57" t="str">
        <f t="shared" si="3"/>
        <v>0x10</v>
      </c>
      <c r="K7" s="58" t="str">
        <f t="shared" si="4"/>
        <v>0x00</v>
      </c>
      <c r="L7" s="58" t="str">
        <f t="shared" si="5"/>
        <v>0x2A</v>
      </c>
      <c r="M7" s="59">
        <v>2.0</v>
      </c>
      <c r="N7" s="59" t="str">
        <f t="shared" si="6"/>
        <v>0x0F</v>
      </c>
      <c r="O7" s="71" t="str">
        <f t="shared" si="7"/>
        <v>0x5D</v>
      </c>
      <c r="P7" s="71" t="str">
        <f t="shared" si="8"/>
        <v>0x40</v>
      </c>
      <c r="Q7" s="71"/>
      <c r="R7" s="59"/>
      <c r="S7" s="71"/>
      <c r="T7" s="71"/>
      <c r="U7" s="71"/>
      <c r="V7" s="58">
        <v>15.0</v>
      </c>
      <c r="W7" s="58" t="str">
        <f t="shared" ref="W7:AG7" si="13">"0x" &amp; MID($B7,$V7  + 2*(COLUMN() - COLUMN($W7)), 2)</f>
        <v>0x58</v>
      </c>
      <c r="X7" s="58" t="str">
        <f t="shared" si="13"/>
        <v>0xF4</v>
      </c>
      <c r="Y7" s="58" t="str">
        <f t="shared" si="13"/>
        <v>0x48</v>
      </c>
      <c r="Z7" s="58" t="str">
        <f t="shared" si="13"/>
        <v>0x82</v>
      </c>
      <c r="AA7" s="58" t="str">
        <f t="shared" si="13"/>
        <v>0xD1</v>
      </c>
      <c r="AB7" s="58" t="str">
        <f t="shared" si="13"/>
        <v>0x46</v>
      </c>
      <c r="AC7" s="58" t="str">
        <f t="shared" si="13"/>
        <v>0x06</v>
      </c>
      <c r="AD7" s="58" t="str">
        <f t="shared" si="13"/>
        <v>0x01</v>
      </c>
      <c r="AE7" s="58" t="str">
        <f t="shared" si="13"/>
        <v>0xD0</v>
      </c>
      <c r="AF7" s="58" t="str">
        <f t="shared" si="13"/>
        <v>0x65</v>
      </c>
      <c r="AG7" s="58" t="str">
        <f t="shared" si="13"/>
        <v>0x43</v>
      </c>
      <c r="AH7" s="58"/>
      <c r="AI7" s="58"/>
      <c r="AJ7" s="58"/>
      <c r="AK7" s="58"/>
      <c r="AL7" s="58"/>
      <c r="AM7" s="58"/>
      <c r="AN7" s="88"/>
    </row>
    <row r="8">
      <c r="A8" s="33" t="str">
        <f t="shared" si="2"/>
        <v>E910</v>
      </c>
      <c r="B8" s="34" t="str">
        <f>IFERROR(__xludf.DUMMYFUNCTION("REGEXREPLACE($H8, ""(?i)^8301(E000|E100|E200|E300)?"", """")"),"E910002A0F5D4058F44882D1460602D06543")</f>
        <v>E910002A0F5D4058F44882D1460602D06543</v>
      </c>
      <c r="C8" s="36" t="s">
        <v>25</v>
      </c>
      <c r="D8" s="36" t="s">
        <v>489</v>
      </c>
      <c r="E8" s="36" t="s">
        <v>106</v>
      </c>
      <c r="F8" s="36" t="s">
        <v>107</v>
      </c>
      <c r="G8" s="37">
        <v>46220.0</v>
      </c>
      <c r="H8" s="38" t="s">
        <v>345</v>
      </c>
      <c r="I8" s="36"/>
      <c r="J8" s="39" t="str">
        <f t="shared" si="3"/>
        <v>0x10</v>
      </c>
      <c r="K8" s="40" t="str">
        <f t="shared" si="4"/>
        <v>0x00</v>
      </c>
      <c r="L8" s="40" t="str">
        <f t="shared" si="5"/>
        <v>0x2A</v>
      </c>
      <c r="M8" s="42">
        <v>2.0</v>
      </c>
      <c r="N8" s="42" t="str">
        <f t="shared" si="6"/>
        <v>0x0F</v>
      </c>
      <c r="O8" s="48" t="str">
        <f t="shared" si="7"/>
        <v>0x5D</v>
      </c>
      <c r="P8" s="48" t="str">
        <f t="shared" si="8"/>
        <v>0x40</v>
      </c>
      <c r="Q8" s="48"/>
      <c r="R8" s="42"/>
      <c r="S8" s="48"/>
      <c r="T8" s="48"/>
      <c r="U8" s="48"/>
      <c r="V8" s="40">
        <v>15.0</v>
      </c>
      <c r="W8" s="40" t="str">
        <f t="shared" ref="W8:AG8" si="14">"0x" &amp; MID($B8,$V8  + 2*(COLUMN() - COLUMN($W8)), 2)</f>
        <v>0x58</v>
      </c>
      <c r="X8" s="40" t="str">
        <f t="shared" si="14"/>
        <v>0xF4</v>
      </c>
      <c r="Y8" s="40" t="str">
        <f t="shared" si="14"/>
        <v>0x48</v>
      </c>
      <c r="Z8" s="40" t="str">
        <f t="shared" si="14"/>
        <v>0x82</v>
      </c>
      <c r="AA8" s="40" t="str">
        <f t="shared" si="14"/>
        <v>0xD1</v>
      </c>
      <c r="AB8" s="40" t="str">
        <f t="shared" si="14"/>
        <v>0x46</v>
      </c>
      <c r="AC8" s="40" t="str">
        <f t="shared" si="14"/>
        <v>0x06</v>
      </c>
      <c r="AD8" s="40" t="str">
        <f t="shared" si="14"/>
        <v>0x02</v>
      </c>
      <c r="AE8" s="40" t="str">
        <f t="shared" si="14"/>
        <v>0xD0</v>
      </c>
      <c r="AF8" s="40" t="str">
        <f t="shared" si="14"/>
        <v>0x65</v>
      </c>
      <c r="AG8" s="40" t="str">
        <f t="shared" si="14"/>
        <v>0x43</v>
      </c>
      <c r="AH8" s="40"/>
      <c r="AI8" s="40"/>
      <c r="AJ8" s="40"/>
      <c r="AK8" s="40"/>
      <c r="AL8" s="40"/>
      <c r="AM8" s="40"/>
      <c r="AN8" s="75"/>
    </row>
    <row r="9">
      <c r="A9" s="51" t="str">
        <f t="shared" si="2"/>
        <v>E911</v>
      </c>
      <c r="B9" s="52" t="str">
        <f>IFERROR(__xludf.DUMMYFUNCTION("REGEXREPLACE($H9, ""(?i)^8301(E000|E100|E200|E300)?"", """")"),"E911008F0F5B5D58F44882D146052BD06538B0")</f>
        <v>E911008F0F5B5D58F44882D146052BD06538B0</v>
      </c>
      <c r="C9" s="65" t="s">
        <v>25</v>
      </c>
      <c r="D9" s="53"/>
      <c r="E9" s="54" t="s">
        <v>75</v>
      </c>
      <c r="F9" s="54" t="s">
        <v>76</v>
      </c>
      <c r="G9" s="55">
        <v>46235.0</v>
      </c>
      <c r="H9" s="56" t="s">
        <v>402</v>
      </c>
      <c r="I9" s="65"/>
      <c r="J9" s="57" t="str">
        <f t="shared" si="3"/>
        <v>0x11</v>
      </c>
      <c r="K9" s="58" t="str">
        <f t="shared" si="4"/>
        <v>0x00</v>
      </c>
      <c r="L9" s="58" t="str">
        <f t="shared" si="5"/>
        <v>0x8F</v>
      </c>
      <c r="M9" s="82">
        <v>2.0</v>
      </c>
      <c r="N9" s="83" t="str">
        <f t="shared" si="6"/>
        <v>0x0F</v>
      </c>
      <c r="O9" s="84" t="str">
        <f t="shared" si="7"/>
        <v>0x5B</v>
      </c>
      <c r="P9" s="84" t="str">
        <f t="shared" si="8"/>
        <v>0x5D</v>
      </c>
      <c r="Q9" s="85"/>
      <c r="R9" s="86"/>
      <c r="S9" s="85"/>
      <c r="T9" s="85"/>
      <c r="U9" s="85"/>
      <c r="V9" s="87">
        <v>15.0</v>
      </c>
      <c r="W9" s="58" t="str">
        <f t="shared" ref="W9:AG9" si="15">"0x" &amp; MID($B9,$V9  + 2*(COLUMN() - COLUMN($W9)), 2)</f>
        <v>0x58</v>
      </c>
      <c r="X9" s="58" t="str">
        <f t="shared" si="15"/>
        <v>0xF4</v>
      </c>
      <c r="Y9" s="58" t="str">
        <f t="shared" si="15"/>
        <v>0x48</v>
      </c>
      <c r="Z9" s="58" t="str">
        <f t="shared" si="15"/>
        <v>0x82</v>
      </c>
      <c r="AA9" s="58" t="str">
        <f t="shared" si="15"/>
        <v>0xD1</v>
      </c>
      <c r="AB9" s="58" t="str">
        <f t="shared" si="15"/>
        <v>0x46</v>
      </c>
      <c r="AC9" s="58" t="str">
        <f t="shared" si="15"/>
        <v>0x05</v>
      </c>
      <c r="AD9" s="58" t="str">
        <f t="shared" si="15"/>
        <v>0x2B</v>
      </c>
      <c r="AE9" s="58" t="str">
        <f t="shared" si="15"/>
        <v>0xD0</v>
      </c>
      <c r="AF9" s="58" t="str">
        <f t="shared" si="15"/>
        <v>0x65</v>
      </c>
      <c r="AG9" s="58" t="str">
        <f t="shared" si="15"/>
        <v>0x38</v>
      </c>
      <c r="AH9" s="58"/>
      <c r="AI9" s="58"/>
      <c r="AJ9" s="58"/>
      <c r="AK9" s="58"/>
      <c r="AL9" s="58"/>
      <c r="AM9" s="58"/>
      <c r="AN9" s="74" t="str">
        <f>"0x"&amp;MID($B9,37,2)</f>
        <v>0xB0</v>
      </c>
    </row>
    <row r="10">
      <c r="A10" s="33" t="str">
        <f t="shared" si="2"/>
        <v>E913</v>
      </c>
      <c r="B10" s="34" t="str">
        <f>IFERROR(__xludf.DUMMYFUNCTION("REGEXREPLACE($H10, ""(?i)^8301(E000|E100|E200|E300)?"", """")"),"E913005F0F445C58F44882D06535D1462A01307BA1")</f>
        <v>E913005F0F445C58F44882D06535D1462A01307BA1</v>
      </c>
      <c r="C10" s="36" t="s">
        <v>25</v>
      </c>
      <c r="D10" s="36" t="s">
        <v>492</v>
      </c>
      <c r="E10" s="36" t="s">
        <v>106</v>
      </c>
      <c r="F10" s="36" t="s">
        <v>107</v>
      </c>
      <c r="G10" s="37">
        <v>46220.0</v>
      </c>
      <c r="H10" s="38" t="s">
        <v>418</v>
      </c>
      <c r="I10" s="36"/>
      <c r="J10" s="39" t="str">
        <f t="shared" si="3"/>
        <v>0x13</v>
      </c>
      <c r="K10" s="40" t="str">
        <f t="shared" si="4"/>
        <v>0x00</v>
      </c>
      <c r="L10" s="40" t="str">
        <f t="shared" si="5"/>
        <v>0x5F</v>
      </c>
      <c r="M10" s="77">
        <v>2.0</v>
      </c>
      <c r="N10" s="78" t="str">
        <f t="shared" si="6"/>
        <v>0x0F</v>
      </c>
      <c r="O10" s="72" t="str">
        <f t="shared" si="7"/>
        <v>0x44</v>
      </c>
      <c r="P10" s="72" t="str">
        <f t="shared" si="8"/>
        <v>0x5C</v>
      </c>
      <c r="Q10" s="79"/>
      <c r="R10" s="80"/>
      <c r="S10" s="79"/>
      <c r="T10" s="79"/>
      <c r="U10" s="79"/>
      <c r="V10" s="81">
        <v>15.0</v>
      </c>
      <c r="W10" s="40" t="str">
        <f t="shared" ref="W10:AJ10" si="16">"0x" &amp; MID($B10,$V10  + 2*(COLUMN() - COLUMN($W10)), 2)</f>
        <v>0x58</v>
      </c>
      <c r="X10" s="40" t="str">
        <f t="shared" si="16"/>
        <v>0xF4</v>
      </c>
      <c r="Y10" s="40" t="str">
        <f t="shared" si="16"/>
        <v>0x48</v>
      </c>
      <c r="Z10" s="40" t="str">
        <f t="shared" si="16"/>
        <v>0x82</v>
      </c>
      <c r="AA10" s="40" t="str">
        <f t="shared" si="16"/>
        <v>0xD0</v>
      </c>
      <c r="AB10" s="40" t="str">
        <f t="shared" si="16"/>
        <v>0x65</v>
      </c>
      <c r="AC10" s="40" t="str">
        <f t="shared" si="16"/>
        <v>0x35</v>
      </c>
      <c r="AD10" s="40" t="str">
        <f t="shared" si="16"/>
        <v>0xD1</v>
      </c>
      <c r="AE10" s="40" t="str">
        <f t="shared" si="16"/>
        <v>0x46</v>
      </c>
      <c r="AF10" s="40" t="str">
        <f t="shared" si="16"/>
        <v>0x2A</v>
      </c>
      <c r="AG10" s="40" t="str">
        <f t="shared" si="16"/>
        <v>0x01</v>
      </c>
      <c r="AH10" s="40" t="str">
        <f t="shared" si="16"/>
        <v>0x30</v>
      </c>
      <c r="AI10" s="40" t="str">
        <f t="shared" si="16"/>
        <v>0x7B</v>
      </c>
      <c r="AJ10" s="40" t="str">
        <f t="shared" si="16"/>
        <v>0xA1</v>
      </c>
      <c r="AK10" s="40"/>
      <c r="AL10" s="40"/>
      <c r="AM10" s="40"/>
      <c r="AN10" s="75"/>
    </row>
    <row r="11">
      <c r="A11" s="51" t="str">
        <f t="shared" si="2"/>
        <v>E913</v>
      </c>
      <c r="B11" s="52" t="str">
        <f>IFERROR(__xludf.DUMMYFUNCTION("REGEXREPLACE($H11, ""(?i)^8301(E000|E100|E200|E300)?"", """")"),"E913005F0F445C58F44882D06535D1462A85307BA1")</f>
        <v>E913005F0F445C58F44882D06535D1462A85307BA1</v>
      </c>
      <c r="C11" s="65" t="s">
        <v>25</v>
      </c>
      <c r="D11" s="65" t="s">
        <v>492</v>
      </c>
      <c r="E11" s="65" t="s">
        <v>106</v>
      </c>
      <c r="F11" s="65" t="s">
        <v>107</v>
      </c>
      <c r="G11" s="67">
        <v>46220.0</v>
      </c>
      <c r="H11" s="68" t="s">
        <v>419</v>
      </c>
      <c r="I11" s="65"/>
      <c r="J11" s="57" t="str">
        <f t="shared" si="3"/>
        <v>0x13</v>
      </c>
      <c r="K11" s="58" t="str">
        <f t="shared" si="4"/>
        <v>0x00</v>
      </c>
      <c r="L11" s="58" t="str">
        <f t="shared" si="5"/>
        <v>0x5F</v>
      </c>
      <c r="M11" s="82">
        <v>2.0</v>
      </c>
      <c r="N11" s="83" t="str">
        <f t="shared" si="6"/>
        <v>0x0F</v>
      </c>
      <c r="O11" s="84" t="str">
        <f t="shared" si="7"/>
        <v>0x44</v>
      </c>
      <c r="P11" s="84" t="str">
        <f t="shared" si="8"/>
        <v>0x5C</v>
      </c>
      <c r="Q11" s="85"/>
      <c r="R11" s="86"/>
      <c r="S11" s="85"/>
      <c r="T11" s="85"/>
      <c r="U11" s="85"/>
      <c r="V11" s="87">
        <v>15.0</v>
      </c>
      <c r="W11" s="58" t="str">
        <f t="shared" ref="W11:AJ11" si="17">"0x" &amp; MID($B11,$V11  + 2*(COLUMN() - COLUMN($W11)), 2)</f>
        <v>0x58</v>
      </c>
      <c r="X11" s="58" t="str">
        <f t="shared" si="17"/>
        <v>0xF4</v>
      </c>
      <c r="Y11" s="58" t="str">
        <f t="shared" si="17"/>
        <v>0x48</v>
      </c>
      <c r="Z11" s="58" t="str">
        <f t="shared" si="17"/>
        <v>0x82</v>
      </c>
      <c r="AA11" s="58" t="str">
        <f t="shared" si="17"/>
        <v>0xD0</v>
      </c>
      <c r="AB11" s="58" t="str">
        <f t="shared" si="17"/>
        <v>0x65</v>
      </c>
      <c r="AC11" s="58" t="str">
        <f t="shared" si="17"/>
        <v>0x35</v>
      </c>
      <c r="AD11" s="58" t="str">
        <f t="shared" si="17"/>
        <v>0xD1</v>
      </c>
      <c r="AE11" s="58" t="str">
        <f t="shared" si="17"/>
        <v>0x46</v>
      </c>
      <c r="AF11" s="58" t="str">
        <f t="shared" si="17"/>
        <v>0x2A</v>
      </c>
      <c r="AG11" s="58" t="str">
        <f t="shared" si="17"/>
        <v>0x85</v>
      </c>
      <c r="AH11" s="58" t="str">
        <f t="shared" si="17"/>
        <v>0x30</v>
      </c>
      <c r="AI11" s="58" t="str">
        <f t="shared" si="17"/>
        <v>0x7B</v>
      </c>
      <c r="AJ11" s="58" t="str">
        <f t="shared" si="17"/>
        <v>0xA1</v>
      </c>
      <c r="AK11" s="58"/>
      <c r="AL11" s="58"/>
      <c r="AM11" s="58"/>
      <c r="AN11" s="88"/>
    </row>
    <row r="12">
      <c r="A12" s="33" t="str">
        <f t="shared" si="2"/>
        <v>E913</v>
      </c>
      <c r="B12" s="34" t="str">
        <f>IFERROR(__xludf.DUMMYFUNCTION("REGEXREPLACE($H12, ""(?i)^8301(E000|E100|E200|E300)?"", """")"),"E913005F0F5D4F58F44882D06535D1460A01307BA1")</f>
        <v>E913005F0F5D4F58F44882D06535D1460A01307BA1</v>
      </c>
      <c r="C12" s="36" t="s">
        <v>25</v>
      </c>
      <c r="D12" s="36" t="s">
        <v>492</v>
      </c>
      <c r="E12" s="36" t="s">
        <v>106</v>
      </c>
      <c r="F12" s="36" t="s">
        <v>107</v>
      </c>
      <c r="G12" s="37">
        <v>46220.0</v>
      </c>
      <c r="H12" s="38" t="s">
        <v>420</v>
      </c>
      <c r="I12" s="36"/>
      <c r="J12" s="39" t="str">
        <f t="shared" si="3"/>
        <v>0x13</v>
      </c>
      <c r="K12" s="40" t="str">
        <f t="shared" si="4"/>
        <v>0x00</v>
      </c>
      <c r="L12" s="40" t="str">
        <f t="shared" si="5"/>
        <v>0x5F</v>
      </c>
      <c r="M12" s="77">
        <v>2.0</v>
      </c>
      <c r="N12" s="78" t="str">
        <f t="shared" si="6"/>
        <v>0x0F</v>
      </c>
      <c r="O12" s="72" t="str">
        <f t="shared" si="7"/>
        <v>0x5D</v>
      </c>
      <c r="P12" s="72" t="str">
        <f t="shared" si="8"/>
        <v>0x4F</v>
      </c>
      <c r="Q12" s="79"/>
      <c r="R12" s="80"/>
      <c r="S12" s="79"/>
      <c r="T12" s="79"/>
      <c r="U12" s="79"/>
      <c r="V12" s="81">
        <v>15.0</v>
      </c>
      <c r="W12" s="40" t="str">
        <f t="shared" ref="W12:AJ12" si="18">"0x" &amp; MID($B12,$V12  + 2*(COLUMN() - COLUMN($W12)), 2)</f>
        <v>0x58</v>
      </c>
      <c r="X12" s="40" t="str">
        <f t="shared" si="18"/>
        <v>0xF4</v>
      </c>
      <c r="Y12" s="40" t="str">
        <f t="shared" si="18"/>
        <v>0x48</v>
      </c>
      <c r="Z12" s="40" t="str">
        <f t="shared" si="18"/>
        <v>0x82</v>
      </c>
      <c r="AA12" s="40" t="str">
        <f t="shared" si="18"/>
        <v>0xD0</v>
      </c>
      <c r="AB12" s="40" t="str">
        <f t="shared" si="18"/>
        <v>0x65</v>
      </c>
      <c r="AC12" s="40" t="str">
        <f t="shared" si="18"/>
        <v>0x35</v>
      </c>
      <c r="AD12" s="40" t="str">
        <f t="shared" si="18"/>
        <v>0xD1</v>
      </c>
      <c r="AE12" s="40" t="str">
        <f t="shared" si="18"/>
        <v>0x46</v>
      </c>
      <c r="AF12" s="40" t="str">
        <f t="shared" si="18"/>
        <v>0x0A</v>
      </c>
      <c r="AG12" s="40" t="str">
        <f t="shared" si="18"/>
        <v>0x01</v>
      </c>
      <c r="AH12" s="40" t="str">
        <f t="shared" si="18"/>
        <v>0x30</v>
      </c>
      <c r="AI12" s="40" t="str">
        <f t="shared" si="18"/>
        <v>0x7B</v>
      </c>
      <c r="AJ12" s="40" t="str">
        <f t="shared" si="18"/>
        <v>0xA1</v>
      </c>
      <c r="AK12" s="40"/>
      <c r="AL12" s="40"/>
      <c r="AM12" s="40"/>
      <c r="AN12" s="75"/>
    </row>
    <row r="13">
      <c r="A13" s="51" t="str">
        <f t="shared" si="2"/>
        <v>E914</v>
      </c>
      <c r="B13" s="52" t="str">
        <f>IFERROR(__xludf.DUMMYFUNCTION("REGEXREPLACE($H13, ""(?i)^8301(E000|E100|E200|E300)?"", """")"),"E91400030F5D5458F44882D0650AD1460228307B00B0")</f>
        <v>E91400030F5D5458F44882D0650AD1460228307B00B0</v>
      </c>
      <c r="C13" s="65" t="s">
        <v>25</v>
      </c>
      <c r="D13" s="65" t="s">
        <v>497</v>
      </c>
      <c r="E13" s="65" t="s">
        <v>75</v>
      </c>
      <c r="F13" s="65" t="s">
        <v>120</v>
      </c>
      <c r="G13" s="67">
        <v>46228.0</v>
      </c>
      <c r="H13" s="68" t="s">
        <v>426</v>
      </c>
      <c r="I13" s="65"/>
      <c r="J13" s="57" t="str">
        <f t="shared" si="3"/>
        <v>0x14</v>
      </c>
      <c r="K13" s="58" t="str">
        <f t="shared" si="4"/>
        <v>0x00</v>
      </c>
      <c r="L13" s="58" t="str">
        <f t="shared" si="5"/>
        <v>0x03</v>
      </c>
      <c r="M13" s="82">
        <v>2.0</v>
      </c>
      <c r="N13" s="83" t="str">
        <f t="shared" si="6"/>
        <v>0x0F</v>
      </c>
      <c r="O13" s="84" t="str">
        <f t="shared" si="7"/>
        <v>0x5D</v>
      </c>
      <c r="P13" s="84" t="str">
        <f t="shared" si="8"/>
        <v>0x54</v>
      </c>
      <c r="Q13" s="85"/>
      <c r="R13" s="86"/>
      <c r="S13" s="85"/>
      <c r="T13" s="85"/>
      <c r="U13" s="85"/>
      <c r="V13" s="87">
        <v>15.0</v>
      </c>
      <c r="W13" s="58" t="str">
        <f t="shared" ref="W13:AJ13" si="19">"0x" &amp; MID($B13,$V13  + 2*(COLUMN() - COLUMN($W13)), 2)</f>
        <v>0x58</v>
      </c>
      <c r="X13" s="58" t="str">
        <f t="shared" si="19"/>
        <v>0xF4</v>
      </c>
      <c r="Y13" s="58" t="str">
        <f t="shared" si="19"/>
        <v>0x48</v>
      </c>
      <c r="Z13" s="58" t="str">
        <f t="shared" si="19"/>
        <v>0x82</v>
      </c>
      <c r="AA13" s="58" t="str">
        <f t="shared" si="19"/>
        <v>0xD0</v>
      </c>
      <c r="AB13" s="58" t="str">
        <f t="shared" si="19"/>
        <v>0x65</v>
      </c>
      <c r="AC13" s="58" t="str">
        <f t="shared" si="19"/>
        <v>0x0A</v>
      </c>
      <c r="AD13" s="58" t="str">
        <f t="shared" si="19"/>
        <v>0xD1</v>
      </c>
      <c r="AE13" s="58" t="str">
        <f t="shared" si="19"/>
        <v>0x46</v>
      </c>
      <c r="AF13" s="58" t="str">
        <f t="shared" si="19"/>
        <v>0x02</v>
      </c>
      <c r="AG13" s="58" t="str">
        <f t="shared" si="19"/>
        <v>0x28</v>
      </c>
      <c r="AH13" s="58" t="str">
        <f t="shared" si="19"/>
        <v>0x30</v>
      </c>
      <c r="AI13" s="58" t="str">
        <f t="shared" si="19"/>
        <v>0x7B</v>
      </c>
      <c r="AJ13" s="58" t="str">
        <f t="shared" si="19"/>
        <v>0x00</v>
      </c>
      <c r="AK13" s="58"/>
      <c r="AL13" s="58"/>
      <c r="AM13" s="58"/>
      <c r="AN13" s="74" t="str">
        <f t="shared" ref="AN13:AN18" si="21">"0x"&amp;MID($B13,43,2)</f>
        <v>0xB0</v>
      </c>
    </row>
    <row r="14">
      <c r="A14" s="33" t="str">
        <f t="shared" si="2"/>
        <v>E914</v>
      </c>
      <c r="B14" s="34" t="str">
        <f>IFERROR(__xludf.DUMMYFUNCTION("REGEXREPLACE($H14, ""(?i)^8301(E000|E100|E200|E300)?"", """")"),"E91400060F4D5D58F44882D0651CD14602ED307BFFB0")</f>
        <v>E91400060F4D5D58F44882D0651CD14602ED307BFFB0</v>
      </c>
      <c r="C14" s="36" t="s">
        <v>25</v>
      </c>
      <c r="D14" s="36" t="s">
        <v>497</v>
      </c>
      <c r="E14" s="36" t="s">
        <v>75</v>
      </c>
      <c r="F14" s="36" t="s">
        <v>120</v>
      </c>
      <c r="G14" s="37">
        <v>46228.0</v>
      </c>
      <c r="H14" s="38" t="s">
        <v>427</v>
      </c>
      <c r="I14" s="36"/>
      <c r="J14" s="39" t="str">
        <f t="shared" si="3"/>
        <v>0x14</v>
      </c>
      <c r="K14" s="40" t="str">
        <f t="shared" si="4"/>
        <v>0x00</v>
      </c>
      <c r="L14" s="40" t="str">
        <f t="shared" si="5"/>
        <v>0x06</v>
      </c>
      <c r="M14" s="77">
        <v>2.0</v>
      </c>
      <c r="N14" s="78" t="str">
        <f t="shared" si="6"/>
        <v>0x0F</v>
      </c>
      <c r="O14" s="72" t="str">
        <f t="shared" si="7"/>
        <v>0x4D</v>
      </c>
      <c r="P14" s="72" t="str">
        <f t="shared" si="8"/>
        <v>0x5D</v>
      </c>
      <c r="Q14" s="79"/>
      <c r="R14" s="80"/>
      <c r="S14" s="79"/>
      <c r="T14" s="79"/>
      <c r="U14" s="79"/>
      <c r="V14" s="81">
        <v>15.0</v>
      </c>
      <c r="W14" s="40" t="str">
        <f t="shared" ref="W14:AJ14" si="20">"0x" &amp; MID($B14,$V14  + 2*(COLUMN() - COLUMN($W14)), 2)</f>
        <v>0x58</v>
      </c>
      <c r="X14" s="40" t="str">
        <f t="shared" si="20"/>
        <v>0xF4</v>
      </c>
      <c r="Y14" s="40" t="str">
        <f t="shared" si="20"/>
        <v>0x48</v>
      </c>
      <c r="Z14" s="40" t="str">
        <f t="shared" si="20"/>
        <v>0x82</v>
      </c>
      <c r="AA14" s="40" t="str">
        <f t="shared" si="20"/>
        <v>0xD0</v>
      </c>
      <c r="AB14" s="40" t="str">
        <f t="shared" si="20"/>
        <v>0x65</v>
      </c>
      <c r="AC14" s="40" t="str">
        <f t="shared" si="20"/>
        <v>0x1C</v>
      </c>
      <c r="AD14" s="40" t="str">
        <f t="shared" si="20"/>
        <v>0xD1</v>
      </c>
      <c r="AE14" s="40" t="str">
        <f t="shared" si="20"/>
        <v>0x46</v>
      </c>
      <c r="AF14" s="40" t="str">
        <f t="shared" si="20"/>
        <v>0x02</v>
      </c>
      <c r="AG14" s="40" t="str">
        <f t="shared" si="20"/>
        <v>0xED</v>
      </c>
      <c r="AH14" s="40" t="str">
        <f t="shared" si="20"/>
        <v>0x30</v>
      </c>
      <c r="AI14" s="40" t="str">
        <f t="shared" si="20"/>
        <v>0x7B</v>
      </c>
      <c r="AJ14" s="40" t="str">
        <f t="shared" si="20"/>
        <v>0xFF</v>
      </c>
      <c r="AK14" s="40"/>
      <c r="AL14" s="40"/>
      <c r="AM14" s="40"/>
      <c r="AN14" s="64" t="str">
        <f t="shared" si="21"/>
        <v>0xB0</v>
      </c>
    </row>
    <row r="15">
      <c r="A15" s="51" t="str">
        <f t="shared" si="2"/>
        <v>E914</v>
      </c>
      <c r="B15" s="52" t="str">
        <f>IFERROR(__xludf.DUMMYFUNCTION("REGEXREPLACE($H15, ""(?i)^8301(E000|E100|E200|E300)?"", """")"),"E91400070F564258F44882D06500D146040A307B26B0")</f>
        <v>E91400070F564258F44882D06500D146040A307B26B0</v>
      </c>
      <c r="C15" s="65" t="s">
        <v>25</v>
      </c>
      <c r="D15" s="65" t="s">
        <v>497</v>
      </c>
      <c r="E15" s="65" t="s">
        <v>106</v>
      </c>
      <c r="F15" s="65" t="s">
        <v>175</v>
      </c>
      <c r="G15" s="67">
        <v>46220.0</v>
      </c>
      <c r="H15" s="68" t="s">
        <v>428</v>
      </c>
      <c r="I15" s="65"/>
      <c r="J15" s="57" t="str">
        <f t="shared" si="3"/>
        <v>0x14</v>
      </c>
      <c r="K15" s="58" t="str">
        <f t="shared" si="4"/>
        <v>0x00</v>
      </c>
      <c r="L15" s="58" t="str">
        <f t="shared" si="5"/>
        <v>0x07</v>
      </c>
      <c r="M15" s="82">
        <v>2.0</v>
      </c>
      <c r="N15" s="83" t="str">
        <f t="shared" si="6"/>
        <v>0x0F</v>
      </c>
      <c r="O15" s="84" t="str">
        <f t="shared" si="7"/>
        <v>0x56</v>
      </c>
      <c r="P15" s="84" t="str">
        <f t="shared" si="8"/>
        <v>0x42</v>
      </c>
      <c r="Q15" s="85"/>
      <c r="R15" s="86"/>
      <c r="S15" s="85"/>
      <c r="T15" s="85"/>
      <c r="U15" s="85"/>
      <c r="V15" s="87">
        <v>15.0</v>
      </c>
      <c r="W15" s="58" t="str">
        <f t="shared" ref="W15:AJ15" si="22">"0x" &amp; MID($B15,$V15  + 2*(COLUMN() - COLUMN($W15)), 2)</f>
        <v>0x58</v>
      </c>
      <c r="X15" s="58" t="str">
        <f t="shared" si="22"/>
        <v>0xF4</v>
      </c>
      <c r="Y15" s="58" t="str">
        <f t="shared" si="22"/>
        <v>0x48</v>
      </c>
      <c r="Z15" s="58" t="str">
        <f t="shared" si="22"/>
        <v>0x82</v>
      </c>
      <c r="AA15" s="58" t="str">
        <f t="shared" si="22"/>
        <v>0xD0</v>
      </c>
      <c r="AB15" s="58" t="str">
        <f t="shared" si="22"/>
        <v>0x65</v>
      </c>
      <c r="AC15" s="58" t="str">
        <f t="shared" si="22"/>
        <v>0x00</v>
      </c>
      <c r="AD15" s="58" t="str">
        <f t="shared" si="22"/>
        <v>0xD1</v>
      </c>
      <c r="AE15" s="58" t="str">
        <f t="shared" si="22"/>
        <v>0x46</v>
      </c>
      <c r="AF15" s="58" t="str">
        <f t="shared" si="22"/>
        <v>0x04</v>
      </c>
      <c r="AG15" s="58" t="str">
        <f t="shared" si="22"/>
        <v>0x0A</v>
      </c>
      <c r="AH15" s="58" t="str">
        <f t="shared" si="22"/>
        <v>0x30</v>
      </c>
      <c r="AI15" s="58" t="str">
        <f t="shared" si="22"/>
        <v>0x7B</v>
      </c>
      <c r="AJ15" s="58" t="str">
        <f t="shared" si="22"/>
        <v>0x26</v>
      </c>
      <c r="AK15" s="58"/>
      <c r="AL15" s="58"/>
      <c r="AM15" s="58"/>
      <c r="AN15" s="74" t="str">
        <f t="shared" si="21"/>
        <v>0xB0</v>
      </c>
    </row>
    <row r="16">
      <c r="A16" s="33" t="str">
        <f t="shared" si="2"/>
        <v>E914</v>
      </c>
      <c r="B16" s="34" t="str">
        <f>IFERROR(__xludf.DUMMYFUNCTION("REGEXREPLACE($H16, ""(?i)^8301(E000|E100|E200|E300)?"", """")"),"E91400110F545158F44882D06511D1462A02307B33BA")</f>
        <v>E91400110F545158F44882D06511D1462A02307B33BA</v>
      </c>
      <c r="C16" s="36" t="s">
        <v>25</v>
      </c>
      <c r="D16" s="36"/>
      <c r="E16" s="36" t="s">
        <v>217</v>
      </c>
      <c r="F16" s="36" t="s">
        <v>218</v>
      </c>
      <c r="G16" s="37">
        <v>46244.0</v>
      </c>
      <c r="H16" s="38" t="s">
        <v>450</v>
      </c>
      <c r="I16" s="36"/>
      <c r="J16" s="39" t="str">
        <f t="shared" si="3"/>
        <v>0x14</v>
      </c>
      <c r="K16" s="40" t="str">
        <f t="shared" si="4"/>
        <v>0x00</v>
      </c>
      <c r="L16" s="40" t="str">
        <f t="shared" si="5"/>
        <v>0x11</v>
      </c>
      <c r="M16" s="77">
        <v>2.0</v>
      </c>
      <c r="N16" s="78" t="str">
        <f t="shared" si="6"/>
        <v>0x0F</v>
      </c>
      <c r="O16" s="72" t="str">
        <f t="shared" si="7"/>
        <v>0x54</v>
      </c>
      <c r="P16" s="72" t="str">
        <f t="shared" si="8"/>
        <v>0x51</v>
      </c>
      <c r="Q16" s="79"/>
      <c r="R16" s="80"/>
      <c r="S16" s="79"/>
      <c r="T16" s="79"/>
      <c r="U16" s="79"/>
      <c r="V16" s="81">
        <v>15.0</v>
      </c>
      <c r="W16" s="40" t="str">
        <f t="shared" ref="W16:AJ16" si="23">"0x" &amp; MID($B16,$V16  + 2*(COLUMN() - COLUMN($W16)), 2)</f>
        <v>0x58</v>
      </c>
      <c r="X16" s="40" t="str">
        <f t="shared" si="23"/>
        <v>0xF4</v>
      </c>
      <c r="Y16" s="40" t="str">
        <f t="shared" si="23"/>
        <v>0x48</v>
      </c>
      <c r="Z16" s="40" t="str">
        <f t="shared" si="23"/>
        <v>0x82</v>
      </c>
      <c r="AA16" s="40" t="str">
        <f t="shared" si="23"/>
        <v>0xD0</v>
      </c>
      <c r="AB16" s="40" t="str">
        <f t="shared" si="23"/>
        <v>0x65</v>
      </c>
      <c r="AC16" s="40" t="str">
        <f t="shared" si="23"/>
        <v>0x11</v>
      </c>
      <c r="AD16" s="40" t="str">
        <f t="shared" si="23"/>
        <v>0xD1</v>
      </c>
      <c r="AE16" s="40" t="str">
        <f t="shared" si="23"/>
        <v>0x46</v>
      </c>
      <c r="AF16" s="40" t="str">
        <f t="shared" si="23"/>
        <v>0x2A</v>
      </c>
      <c r="AG16" s="40" t="str">
        <f t="shared" si="23"/>
        <v>0x02</v>
      </c>
      <c r="AH16" s="40" t="str">
        <f t="shared" si="23"/>
        <v>0x30</v>
      </c>
      <c r="AI16" s="40" t="str">
        <f t="shared" si="23"/>
        <v>0x7B</v>
      </c>
      <c r="AJ16" s="40" t="str">
        <f t="shared" si="23"/>
        <v>0x33</v>
      </c>
      <c r="AK16" s="40"/>
      <c r="AL16" s="40"/>
      <c r="AM16" s="40"/>
      <c r="AN16" s="64" t="str">
        <f t="shared" si="21"/>
        <v>0xBA</v>
      </c>
    </row>
    <row r="17">
      <c r="A17" s="51" t="str">
        <f t="shared" si="2"/>
        <v>E914</v>
      </c>
      <c r="B17" s="52" t="str">
        <f>IFERROR(__xludf.DUMMYFUNCTION("REGEXREPLACE($H17, ""(?i)^8301(E000|E100|E200|E300)?"", """")"),"E91400550F515D58F44882D0653FD146051E307B00B0")</f>
        <v>E91400550F515D58F44882D0653FD146051E307B00B0</v>
      </c>
      <c r="C17" s="65" t="s">
        <v>25</v>
      </c>
      <c r="D17" s="65" t="s">
        <v>497</v>
      </c>
      <c r="E17" s="65" t="s">
        <v>217</v>
      </c>
      <c r="F17" s="65" t="s">
        <v>218</v>
      </c>
      <c r="G17" s="67">
        <v>46244.0</v>
      </c>
      <c r="H17" s="68" t="s">
        <v>466</v>
      </c>
      <c r="I17" s="65"/>
      <c r="J17" s="57" t="str">
        <f t="shared" si="3"/>
        <v>0x14</v>
      </c>
      <c r="K17" s="58" t="str">
        <f t="shared" si="4"/>
        <v>0x00</v>
      </c>
      <c r="L17" s="58" t="str">
        <f t="shared" si="5"/>
        <v>0x55</v>
      </c>
      <c r="M17" s="82">
        <v>2.0</v>
      </c>
      <c r="N17" s="83" t="str">
        <f t="shared" si="6"/>
        <v>0x0F</v>
      </c>
      <c r="O17" s="84" t="str">
        <f t="shared" si="7"/>
        <v>0x51</v>
      </c>
      <c r="P17" s="84" t="str">
        <f t="shared" si="8"/>
        <v>0x5D</v>
      </c>
      <c r="Q17" s="85"/>
      <c r="R17" s="86"/>
      <c r="S17" s="85"/>
      <c r="T17" s="85"/>
      <c r="U17" s="85"/>
      <c r="V17" s="87">
        <v>15.0</v>
      </c>
      <c r="W17" s="58" t="str">
        <f t="shared" ref="W17:AK17" si="24">"0x" &amp; MID($B17,$V17  + 2*(COLUMN() - COLUMN($W17)), 2)</f>
        <v>0x58</v>
      </c>
      <c r="X17" s="58" t="str">
        <f t="shared" si="24"/>
        <v>0xF4</v>
      </c>
      <c r="Y17" s="58" t="str">
        <f t="shared" si="24"/>
        <v>0x48</v>
      </c>
      <c r="Z17" s="58" t="str">
        <f t="shared" si="24"/>
        <v>0x82</v>
      </c>
      <c r="AA17" s="58" t="str">
        <f t="shared" si="24"/>
        <v>0xD0</v>
      </c>
      <c r="AB17" s="58" t="str">
        <f t="shared" si="24"/>
        <v>0x65</v>
      </c>
      <c r="AC17" s="58" t="str">
        <f t="shared" si="24"/>
        <v>0x3F</v>
      </c>
      <c r="AD17" s="58" t="str">
        <f t="shared" si="24"/>
        <v>0xD1</v>
      </c>
      <c r="AE17" s="58" t="str">
        <f t="shared" si="24"/>
        <v>0x46</v>
      </c>
      <c r="AF17" s="58" t="str">
        <f t="shared" si="24"/>
        <v>0x05</v>
      </c>
      <c r="AG17" s="58" t="str">
        <f t="shared" si="24"/>
        <v>0x1E</v>
      </c>
      <c r="AH17" s="58" t="str">
        <f t="shared" si="24"/>
        <v>0x30</v>
      </c>
      <c r="AI17" s="58" t="str">
        <f t="shared" si="24"/>
        <v>0x7B</v>
      </c>
      <c r="AJ17" s="58" t="str">
        <f t="shared" si="24"/>
        <v>0x00</v>
      </c>
      <c r="AK17" s="58" t="str">
        <f t="shared" si="24"/>
        <v>0xB0</v>
      </c>
      <c r="AL17" s="58"/>
      <c r="AM17" s="58"/>
      <c r="AN17" s="74" t="str">
        <f t="shared" si="21"/>
        <v>0xB0</v>
      </c>
    </row>
    <row r="18">
      <c r="A18" s="33" t="str">
        <f t="shared" si="2"/>
        <v>E914</v>
      </c>
      <c r="B18" s="34" t="str">
        <f>IFERROR(__xludf.DUMMYFUNCTION("REGEXREPLACE($H18, ""(?i)^8301(E000|E100|E200|E300)?"", """")"),"E91400680F404358F44882D0653FD1462AF6307BA1B0")</f>
        <v>E91400680F404358F44882D0653FD1462AF6307BA1B0</v>
      </c>
      <c r="C18" s="36" t="s">
        <v>25</v>
      </c>
      <c r="D18" s="35"/>
      <c r="E18" s="36" t="s">
        <v>75</v>
      </c>
      <c r="F18" s="36" t="s">
        <v>120</v>
      </c>
      <c r="G18" s="37">
        <v>46219.0</v>
      </c>
      <c r="H18" s="38" t="s">
        <v>434</v>
      </c>
      <c r="I18" s="36"/>
      <c r="J18" s="39" t="str">
        <f t="shared" si="3"/>
        <v>0x14</v>
      </c>
      <c r="K18" s="40" t="str">
        <f t="shared" si="4"/>
        <v>0x00</v>
      </c>
      <c r="L18" s="40" t="str">
        <f t="shared" si="5"/>
        <v>0x68</v>
      </c>
      <c r="M18" s="77">
        <v>2.0</v>
      </c>
      <c r="N18" s="78" t="str">
        <f t="shared" si="6"/>
        <v>0x0F</v>
      </c>
      <c r="O18" s="72" t="str">
        <f t="shared" si="7"/>
        <v>0x40</v>
      </c>
      <c r="P18" s="72" t="str">
        <f t="shared" si="8"/>
        <v>0x43</v>
      </c>
      <c r="Q18" s="79"/>
      <c r="R18" s="80"/>
      <c r="S18" s="79"/>
      <c r="T18" s="79"/>
      <c r="U18" s="79"/>
      <c r="V18" s="81">
        <v>15.0</v>
      </c>
      <c r="W18" s="40" t="str">
        <f t="shared" ref="W18:AK18" si="25">"0x" &amp; MID($B18,$V18  + 2*(COLUMN() - COLUMN($W18)), 2)</f>
        <v>0x58</v>
      </c>
      <c r="X18" s="40" t="str">
        <f t="shared" si="25"/>
        <v>0xF4</v>
      </c>
      <c r="Y18" s="40" t="str">
        <f t="shared" si="25"/>
        <v>0x48</v>
      </c>
      <c r="Z18" s="40" t="str">
        <f t="shared" si="25"/>
        <v>0x82</v>
      </c>
      <c r="AA18" s="40" t="str">
        <f t="shared" si="25"/>
        <v>0xD0</v>
      </c>
      <c r="AB18" s="40" t="str">
        <f t="shared" si="25"/>
        <v>0x65</v>
      </c>
      <c r="AC18" s="40" t="str">
        <f t="shared" si="25"/>
        <v>0x3F</v>
      </c>
      <c r="AD18" s="40" t="str">
        <f t="shared" si="25"/>
        <v>0xD1</v>
      </c>
      <c r="AE18" s="40" t="str">
        <f t="shared" si="25"/>
        <v>0x46</v>
      </c>
      <c r="AF18" s="40" t="str">
        <f t="shared" si="25"/>
        <v>0x2A</v>
      </c>
      <c r="AG18" s="40" t="str">
        <f t="shared" si="25"/>
        <v>0xF6</v>
      </c>
      <c r="AH18" s="40" t="str">
        <f t="shared" si="25"/>
        <v>0x30</v>
      </c>
      <c r="AI18" s="40" t="str">
        <f t="shared" si="25"/>
        <v>0x7B</v>
      </c>
      <c r="AJ18" s="40" t="str">
        <f t="shared" si="25"/>
        <v>0xA1</v>
      </c>
      <c r="AK18" s="40" t="str">
        <f t="shared" si="25"/>
        <v>0xB0</v>
      </c>
      <c r="AL18" s="40"/>
      <c r="AM18" s="40"/>
      <c r="AN18" s="64" t="str">
        <f t="shared" si="21"/>
        <v>0xB0</v>
      </c>
    </row>
    <row r="19">
      <c r="A19" s="51" t="str">
        <f t="shared" si="2"/>
        <v>E913</v>
      </c>
      <c r="B19" s="52" t="str">
        <f>IFERROR(__xludf.DUMMYFUNCTION("REGEXREPLACE($H19, ""(?i)^8301(E000|E100|E200|E300)?"", """")"),"E91300080F5D5C58F44882D065FCD14602FA307B00")</f>
        <v>E91300080F5D5C58F44882D065FCD14602FA307B00</v>
      </c>
      <c r="C19" s="65" t="s">
        <v>505</v>
      </c>
      <c r="D19" s="65" t="s">
        <v>118</v>
      </c>
      <c r="E19" s="65" t="s">
        <v>106</v>
      </c>
      <c r="F19" s="65" t="s">
        <v>107</v>
      </c>
      <c r="G19" s="67">
        <v>46220.0</v>
      </c>
      <c r="H19" s="68" t="s">
        <v>326</v>
      </c>
      <c r="I19" s="65"/>
      <c r="J19" s="57" t="str">
        <f t="shared" si="3"/>
        <v>0x13</v>
      </c>
      <c r="K19" s="58" t="str">
        <f t="shared" si="4"/>
        <v>0x00</v>
      </c>
      <c r="L19" s="58" t="str">
        <f t="shared" si="5"/>
        <v>0x08</v>
      </c>
      <c r="M19" s="82">
        <v>2.0</v>
      </c>
      <c r="N19" s="83" t="str">
        <f t="shared" si="6"/>
        <v>0x0F</v>
      </c>
      <c r="O19" s="84" t="str">
        <f t="shared" si="7"/>
        <v>0x5D</v>
      </c>
      <c r="P19" s="84" t="str">
        <f t="shared" si="8"/>
        <v>0x5C</v>
      </c>
      <c r="Q19" s="85"/>
      <c r="R19" s="86"/>
      <c r="S19" s="85"/>
      <c r="T19" s="85"/>
      <c r="U19" s="85"/>
      <c r="V19" s="87">
        <v>15.0</v>
      </c>
      <c r="W19" s="58" t="str">
        <f t="shared" ref="W19:AJ19" si="26">"0x" &amp; MID($B19,$V19  + 2*(COLUMN() - COLUMN($W19)), 2)</f>
        <v>0x58</v>
      </c>
      <c r="X19" s="58" t="str">
        <f t="shared" si="26"/>
        <v>0xF4</v>
      </c>
      <c r="Y19" s="58" t="str">
        <f t="shared" si="26"/>
        <v>0x48</v>
      </c>
      <c r="Z19" s="58" t="str">
        <f t="shared" si="26"/>
        <v>0x82</v>
      </c>
      <c r="AA19" s="58" t="str">
        <f t="shared" si="26"/>
        <v>0xD0</v>
      </c>
      <c r="AB19" s="58" t="str">
        <f t="shared" si="26"/>
        <v>0x65</v>
      </c>
      <c r="AC19" s="58" t="str">
        <f t="shared" si="26"/>
        <v>0xFC</v>
      </c>
      <c r="AD19" s="58" t="str">
        <f t="shared" si="26"/>
        <v>0xD1</v>
      </c>
      <c r="AE19" s="58" t="str">
        <f t="shared" si="26"/>
        <v>0x46</v>
      </c>
      <c r="AF19" s="58" t="str">
        <f t="shared" si="26"/>
        <v>0x02</v>
      </c>
      <c r="AG19" s="58" t="str">
        <f t="shared" si="26"/>
        <v>0xFA</v>
      </c>
      <c r="AH19" s="58" t="str">
        <f t="shared" si="26"/>
        <v>0x30</v>
      </c>
      <c r="AI19" s="58" t="str">
        <f t="shared" si="26"/>
        <v>0x7B</v>
      </c>
      <c r="AJ19" s="58" t="str">
        <f t="shared" si="26"/>
        <v>0x00</v>
      </c>
      <c r="AK19" s="58"/>
      <c r="AL19" s="58"/>
      <c r="AM19" s="58"/>
      <c r="AN19" s="88"/>
    </row>
  </sheetData>
  <autoFilter ref="$A$1:$AN$19">
    <sortState ref="A1:AN19">
      <sortCondition ref="C1:C19"/>
      <sortCondition ref="B1:B19"/>
      <sortCondition ref="N1:N19"/>
      <sortCondition ref="W1:W19"/>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39.0"/>
    <col customWidth="1" min="3" max="3" width="8.38"/>
    <col customWidth="1" min="4" max="4" width="30.38"/>
    <col customWidth="1" min="5" max="7" width="10.5"/>
    <col customWidth="1" min="8" max="8" width="12.25"/>
    <col customWidth="1" min="9" max="9" width="14.0"/>
    <col customWidth="1" hidden="1" min="10" max="10" width="10.5"/>
    <col customWidth="1" hidden="1" min="11" max="11" width="14.75"/>
    <col customWidth="1" hidden="1" min="12" max="12" width="9.5"/>
    <col customWidth="1" hidden="1" min="13" max="13" width="53.0"/>
    <col customWidth="1" min="14" max="14" width="12.63"/>
    <col customWidth="1" min="15" max="15" width="9.0"/>
    <col customWidth="1" min="16" max="16" width="5.88"/>
    <col customWidth="1" min="17" max="17" width="5.75"/>
    <col customWidth="1" min="18" max="18" width="4.38"/>
    <col customWidth="1" min="19" max="19" width="5.5"/>
    <col customWidth="1" min="20" max="22" width="5.63"/>
    <col customWidth="1" hidden="1" min="23" max="23" width="7.0"/>
    <col customWidth="1" min="24" max="25" width="5.63"/>
    <col customWidth="1" hidden="1" min="26" max="26" width="5.63"/>
    <col customWidth="1" min="27" max="27" width="7.25"/>
    <col customWidth="1" min="28" max="38" width="6.38"/>
    <col customWidth="1" hidden="1" min="39" max="39" width="6.25"/>
    <col customWidth="1" hidden="1" min="40" max="44" width="6.38"/>
    <col customWidth="1" min="45" max="45" width="6.0"/>
  </cols>
  <sheetData>
    <row r="1">
      <c r="A1" s="19" t="s">
        <v>62</v>
      </c>
      <c r="B1" s="20" t="s">
        <v>71</v>
      </c>
      <c r="C1" s="20" t="s">
        <v>73</v>
      </c>
      <c r="D1" s="20" t="s">
        <v>6</v>
      </c>
      <c r="E1" s="20" t="s">
        <v>498</v>
      </c>
      <c r="F1" s="20" t="s">
        <v>499</v>
      </c>
      <c r="G1" s="20" t="s">
        <v>78</v>
      </c>
      <c r="H1" s="20" t="s">
        <v>500</v>
      </c>
      <c r="I1" s="20" t="s">
        <v>80</v>
      </c>
      <c r="J1" s="20" t="s">
        <v>69</v>
      </c>
      <c r="K1" s="20" t="s">
        <v>70</v>
      </c>
      <c r="L1" s="20" t="s">
        <v>67</v>
      </c>
      <c r="M1" s="20" t="s">
        <v>44</v>
      </c>
      <c r="N1" s="20" t="s">
        <v>74</v>
      </c>
      <c r="O1" s="21" t="s">
        <v>1</v>
      </c>
      <c r="P1" s="23" t="s">
        <v>5</v>
      </c>
      <c r="Q1" s="23" t="s">
        <v>8</v>
      </c>
      <c r="R1" s="25" t="s">
        <v>11</v>
      </c>
      <c r="S1" s="25" t="s">
        <v>20</v>
      </c>
      <c r="T1" s="26" t="s">
        <v>23</v>
      </c>
      <c r="U1" s="26" t="s">
        <v>28</v>
      </c>
      <c r="V1" s="26" t="s">
        <v>31</v>
      </c>
      <c r="W1" s="25" t="s">
        <v>34</v>
      </c>
      <c r="X1" s="26" t="s">
        <v>37</v>
      </c>
      <c r="Y1" s="26" t="s">
        <v>40</v>
      </c>
      <c r="Z1" s="26" t="s">
        <v>43</v>
      </c>
      <c r="AA1" s="28" t="s">
        <v>48</v>
      </c>
      <c r="AB1" s="28" t="s">
        <v>83</v>
      </c>
      <c r="AC1" s="28" t="s">
        <v>85</v>
      </c>
      <c r="AD1" s="28" t="s">
        <v>86</v>
      </c>
      <c r="AE1" s="28" t="s">
        <v>88</v>
      </c>
      <c r="AF1" s="28" t="s">
        <v>89</v>
      </c>
      <c r="AG1" s="28" t="s">
        <v>90</v>
      </c>
      <c r="AH1" s="28" t="s">
        <v>91</v>
      </c>
      <c r="AI1" s="28" t="s">
        <v>93</v>
      </c>
      <c r="AJ1" s="28" t="s">
        <v>94</v>
      </c>
      <c r="AK1" s="28" t="s">
        <v>95</v>
      </c>
      <c r="AL1" s="28" t="s">
        <v>96</v>
      </c>
      <c r="AM1" s="28" t="s">
        <v>97</v>
      </c>
      <c r="AN1" s="28" t="s">
        <v>98</v>
      </c>
      <c r="AO1" s="28" t="s">
        <v>100</v>
      </c>
      <c r="AP1" s="28" t="s">
        <v>101</v>
      </c>
      <c r="AQ1" s="28" t="s">
        <v>102</v>
      </c>
      <c r="AR1" s="28" t="s">
        <v>103</v>
      </c>
      <c r="AS1" s="32" t="s">
        <v>57</v>
      </c>
    </row>
    <row r="2">
      <c r="A2" s="33" t="str">
        <f t="shared" ref="A2:A19" si="2">LEFT($B2, 4)</f>
        <v>E90C</v>
      </c>
      <c r="B2" s="34" t="str">
        <f>IFERROR(__xludf.DUMMYFUNCTION("REGEXREPLACE($M2, ""(?i)^8301(E000|E100|E200|E300)?"", """")"),"E90C00010F4D4D5A940200488BB0")</f>
        <v>E90C00010F4D4D5A940200488BB0</v>
      </c>
      <c r="C2" s="36" t="s">
        <v>30</v>
      </c>
      <c r="D2" s="36" t="s">
        <v>501</v>
      </c>
      <c r="E2" s="36" t="s">
        <v>478</v>
      </c>
      <c r="F2" s="36" t="s">
        <v>480</v>
      </c>
      <c r="G2" s="36" t="s">
        <v>115</v>
      </c>
      <c r="H2" s="36">
        <v>5.0</v>
      </c>
      <c r="I2" s="36" t="s">
        <v>116</v>
      </c>
      <c r="J2" s="36" t="s">
        <v>106</v>
      </c>
      <c r="K2" s="36" t="s">
        <v>175</v>
      </c>
      <c r="L2" s="37">
        <v>46220.0</v>
      </c>
      <c r="M2" s="38" t="s">
        <v>246</v>
      </c>
      <c r="N2" s="36"/>
      <c r="O2" s="39" t="str">
        <f t="shared" ref="O2:O19" si="3">"0x"&amp;mid($B2,3,2)</f>
        <v>0x0C</v>
      </c>
      <c r="P2" s="40" t="str">
        <f t="shared" ref="P2:P19" si="4">"0x"&amp;MID($B2,5,2)</f>
        <v>0x00</v>
      </c>
      <c r="Q2" s="40" t="str">
        <f t="shared" ref="Q2:Q19" si="5">"0x"&amp;MID($B2,7,2)</f>
        <v>0x01</v>
      </c>
      <c r="R2" s="42">
        <v>2.0</v>
      </c>
      <c r="S2" s="42" t="str">
        <f t="shared" ref="S2:S19" si="6">"0x"&amp;MID($B2,9,2)</f>
        <v>0x0F</v>
      </c>
      <c r="T2" s="48" t="str">
        <f t="shared" ref="T2:T19" si="7">"0x"&amp;MID($B2,11,2)</f>
        <v>0x4D</v>
      </c>
      <c r="U2" s="48" t="str">
        <f t="shared" ref="U2:U19" si="8">"0x"&amp;MID($B2,13,2)</f>
        <v>0x4D</v>
      </c>
      <c r="V2" s="45"/>
      <c r="W2" s="46"/>
      <c r="X2" s="45"/>
      <c r="Y2" s="45"/>
      <c r="Z2" s="45"/>
      <c r="AA2" s="40">
        <v>15.0</v>
      </c>
      <c r="AB2" s="47" t="str">
        <f t="shared" ref="AB2:AG2" si="1">"0x" &amp; MID($B2,$AA2  + 2*(COLUMN() - COLUMN($AB2)), 2)</f>
        <v>0x5A</v>
      </c>
      <c r="AC2" s="47" t="str">
        <f t="shared" si="1"/>
        <v>0x94</v>
      </c>
      <c r="AD2" s="47" t="str">
        <f t="shared" si="1"/>
        <v>0x02</v>
      </c>
      <c r="AE2" s="47" t="str">
        <f t="shared" si="1"/>
        <v>0x00</v>
      </c>
      <c r="AF2" s="47" t="str">
        <f t="shared" si="1"/>
        <v>0x48</v>
      </c>
      <c r="AG2" s="47" t="str">
        <f t="shared" si="1"/>
        <v>0x8B</v>
      </c>
      <c r="AH2" s="47"/>
      <c r="AI2" s="47"/>
      <c r="AJ2" s="47"/>
      <c r="AK2" s="40"/>
      <c r="AL2" s="40"/>
      <c r="AM2" s="40"/>
      <c r="AN2" s="40"/>
      <c r="AO2" s="40"/>
      <c r="AP2" s="40"/>
      <c r="AQ2" s="40"/>
      <c r="AR2" s="40"/>
      <c r="AS2" s="64" t="str">
        <f>"0x"&amp;MID($B2,27,2)</f>
        <v>0xB0</v>
      </c>
    </row>
    <row r="3">
      <c r="A3" s="51" t="str">
        <f t="shared" si="2"/>
        <v>E90C</v>
      </c>
      <c r="B3" s="52" t="str">
        <f>IFERROR(__xludf.DUMMYFUNCTION("REGEXREPLACE($M3, ""(?i)^8301(E000|E100|E200|E300)?"", """")"),"E90C00010F5C5C5BF000FC374895")</f>
        <v>E90C00010F5C5C5BF000FC374895</v>
      </c>
      <c r="C3" s="65" t="s">
        <v>30</v>
      </c>
      <c r="D3" s="65" t="s">
        <v>502</v>
      </c>
      <c r="E3" s="65" t="s">
        <v>478</v>
      </c>
      <c r="F3" s="65" t="s">
        <v>480</v>
      </c>
      <c r="G3" s="65" t="s">
        <v>115</v>
      </c>
      <c r="H3" s="65">
        <v>5.0</v>
      </c>
      <c r="I3" s="65" t="s">
        <v>116</v>
      </c>
      <c r="J3" s="65" t="s">
        <v>106</v>
      </c>
      <c r="K3" s="65" t="s">
        <v>107</v>
      </c>
      <c r="L3" s="67">
        <v>46220.0</v>
      </c>
      <c r="M3" s="68" t="s">
        <v>247</v>
      </c>
      <c r="N3" s="65"/>
      <c r="O3" s="57" t="str">
        <f t="shared" si="3"/>
        <v>0x0C</v>
      </c>
      <c r="P3" s="58" t="str">
        <f t="shared" si="4"/>
        <v>0x00</v>
      </c>
      <c r="Q3" s="58" t="str">
        <f t="shared" si="5"/>
        <v>0x01</v>
      </c>
      <c r="R3" s="59">
        <v>2.0</v>
      </c>
      <c r="S3" s="59" t="str">
        <f t="shared" si="6"/>
        <v>0x0F</v>
      </c>
      <c r="T3" s="71" t="str">
        <f t="shared" si="7"/>
        <v>0x5C</v>
      </c>
      <c r="U3" s="71" t="str">
        <f t="shared" si="8"/>
        <v>0x5C</v>
      </c>
      <c r="V3" s="60"/>
      <c r="W3" s="61"/>
      <c r="X3" s="60"/>
      <c r="Y3" s="60"/>
      <c r="Z3" s="60"/>
      <c r="AA3" s="58">
        <v>15.0</v>
      </c>
      <c r="AB3" s="62" t="str">
        <f t="shared" ref="AB3:AH3" si="9">"0x" &amp; MID($B3,$AA3  + 2*(COLUMN() - COLUMN($AB3)), 2)</f>
        <v>0x5B</v>
      </c>
      <c r="AC3" s="62" t="str">
        <f t="shared" si="9"/>
        <v>0xF0</v>
      </c>
      <c r="AD3" s="62" t="str">
        <f t="shared" si="9"/>
        <v>0x00</v>
      </c>
      <c r="AE3" s="62" t="str">
        <f t="shared" si="9"/>
        <v>0xFC</v>
      </c>
      <c r="AF3" s="62" t="str">
        <f t="shared" si="9"/>
        <v>0x37</v>
      </c>
      <c r="AG3" s="62" t="str">
        <f t="shared" si="9"/>
        <v>0x48</v>
      </c>
      <c r="AH3" s="62" t="str">
        <f t="shared" si="9"/>
        <v>0x95</v>
      </c>
      <c r="AI3" s="62"/>
      <c r="AJ3" s="62"/>
      <c r="AK3" s="58"/>
      <c r="AL3" s="58"/>
      <c r="AM3" s="58"/>
      <c r="AN3" s="58"/>
      <c r="AO3" s="58"/>
      <c r="AP3" s="58"/>
      <c r="AQ3" s="58"/>
      <c r="AR3" s="58"/>
      <c r="AS3" s="88"/>
    </row>
    <row r="4">
      <c r="A4" s="95" t="str">
        <f t="shared" si="2"/>
        <v>E90C</v>
      </c>
      <c r="B4" s="96" t="str">
        <f>IFERROR(__xludf.DUMMYFUNCTION("REGEXREPLACE($M4, ""(?i)^8301(E000|E100|E200|E300)?"", """")"),"E90C00EF0F4F4F5BF0FB14374895")</f>
        <v>E90C00EF0F4F4F5BF0FB14374895</v>
      </c>
      <c r="C4" s="69" t="s">
        <v>30</v>
      </c>
      <c r="D4" s="36" t="s">
        <v>501</v>
      </c>
      <c r="E4" s="36" t="s">
        <v>478</v>
      </c>
      <c r="F4" s="36" t="s">
        <v>480</v>
      </c>
      <c r="G4" s="36" t="s">
        <v>115</v>
      </c>
      <c r="H4" s="69">
        <v>5.0</v>
      </c>
      <c r="I4" s="69" t="s">
        <v>116</v>
      </c>
      <c r="J4" s="41" t="s">
        <v>106</v>
      </c>
      <c r="K4" s="41" t="s">
        <v>107</v>
      </c>
      <c r="L4" s="43">
        <v>46220.0</v>
      </c>
      <c r="M4" s="97" t="s">
        <v>255</v>
      </c>
      <c r="N4" s="41"/>
      <c r="O4" s="92" t="str">
        <f t="shared" si="3"/>
        <v>0x0C</v>
      </c>
      <c r="P4" s="47" t="str">
        <f t="shared" si="4"/>
        <v>0x00</v>
      </c>
      <c r="Q4" s="47" t="str">
        <f t="shared" si="5"/>
        <v>0xEF</v>
      </c>
      <c r="R4" s="77">
        <v>2.0</v>
      </c>
      <c r="S4" s="78" t="str">
        <f t="shared" si="6"/>
        <v>0x0F</v>
      </c>
      <c r="T4" s="72" t="str">
        <f t="shared" si="7"/>
        <v>0x4F</v>
      </c>
      <c r="U4" s="72" t="str">
        <f t="shared" si="8"/>
        <v>0x4F</v>
      </c>
      <c r="V4" s="79"/>
      <c r="W4" s="80"/>
      <c r="X4" s="79"/>
      <c r="Y4" s="79"/>
      <c r="Z4" s="79"/>
      <c r="AA4" s="81">
        <v>15.0</v>
      </c>
      <c r="AB4" s="47" t="str">
        <f t="shared" ref="AB4:AH4" si="10">"0x" &amp; MID($B4,$AA4  + 2*(COLUMN() - COLUMN($AB4)), 2)</f>
        <v>0x5B</v>
      </c>
      <c r="AC4" s="47" t="str">
        <f t="shared" si="10"/>
        <v>0xF0</v>
      </c>
      <c r="AD4" s="47" t="str">
        <f t="shared" si="10"/>
        <v>0xFB</v>
      </c>
      <c r="AE4" s="47" t="str">
        <f t="shared" si="10"/>
        <v>0x14</v>
      </c>
      <c r="AF4" s="47" t="str">
        <f t="shared" si="10"/>
        <v>0x37</v>
      </c>
      <c r="AG4" s="47" t="str">
        <f t="shared" si="10"/>
        <v>0x48</v>
      </c>
      <c r="AH4" s="47" t="str">
        <f t="shared" si="10"/>
        <v>0x95</v>
      </c>
      <c r="AI4" s="93"/>
      <c r="AJ4" s="93"/>
      <c r="AK4" s="93"/>
      <c r="AL4" s="93"/>
      <c r="AM4" s="93"/>
      <c r="AN4" s="93"/>
      <c r="AO4" s="93"/>
      <c r="AP4" s="93"/>
      <c r="AQ4" s="93"/>
      <c r="AR4" s="93"/>
      <c r="AS4" s="98"/>
    </row>
    <row r="5">
      <c r="A5" s="51" t="str">
        <f t="shared" si="2"/>
        <v>E90D</v>
      </c>
      <c r="B5" s="52" t="str">
        <f>IFERROR(__xludf.DUMMYFUNCTION("REGEXREPLACE($M5, ""(?i)^8301(E000|E100|E200|E300)?"", """")"),"E90D00110FBBBBBBBBBB59320248AE")</f>
        <v>E90D00110FBBBBBBBBBB59320248AE</v>
      </c>
      <c r="C5" s="65" t="s">
        <v>30</v>
      </c>
      <c r="D5" s="65" t="s">
        <v>503</v>
      </c>
      <c r="E5" s="65" t="s">
        <v>495</v>
      </c>
      <c r="F5" s="65" t="s">
        <v>480</v>
      </c>
      <c r="G5" s="65" t="s">
        <v>115</v>
      </c>
      <c r="H5" s="65">
        <v>15.0</v>
      </c>
      <c r="I5" s="65" t="s">
        <v>504</v>
      </c>
      <c r="J5" s="65" t="s">
        <v>106</v>
      </c>
      <c r="K5" s="65" t="s">
        <v>107</v>
      </c>
      <c r="L5" s="67">
        <v>46220.0</v>
      </c>
      <c r="M5" s="68" t="s">
        <v>258</v>
      </c>
      <c r="N5" s="65"/>
      <c r="O5" s="57" t="str">
        <f t="shared" si="3"/>
        <v>0x0D</v>
      </c>
      <c r="P5" s="58" t="str">
        <f t="shared" si="4"/>
        <v>0x00</v>
      </c>
      <c r="Q5" s="58" t="str">
        <f t="shared" si="5"/>
        <v>0x11</v>
      </c>
      <c r="R5" s="59">
        <v>5.0</v>
      </c>
      <c r="S5" s="59" t="str">
        <f t="shared" si="6"/>
        <v>0x0F</v>
      </c>
      <c r="T5" s="71" t="str">
        <f t="shared" si="7"/>
        <v>0xBB</v>
      </c>
      <c r="U5" s="71" t="str">
        <f t="shared" si="8"/>
        <v>0xBB</v>
      </c>
      <c r="V5" s="71" t="str">
        <f t="shared" ref="V5:V9" si="12">"0x"&amp;MID($B5,15,2)</f>
        <v>0xBB</v>
      </c>
      <c r="W5" s="59"/>
      <c r="X5" s="71" t="str">
        <f t="shared" ref="X5:X9" si="13">"0x"&amp;MID($B5,17,2)</f>
        <v>0xBB</v>
      </c>
      <c r="Y5" s="71" t="str">
        <f t="shared" ref="Y5:Y9" si="14">"0x"&amp;MID($B5,19,2)</f>
        <v>0xBB</v>
      </c>
      <c r="Z5" s="71"/>
      <c r="AA5" s="58">
        <v>21.0</v>
      </c>
      <c r="AB5" s="58" t="str">
        <f t="shared" ref="AB5:AF5" si="11">"0x" &amp; MID($B5,$AA5  + 2*(COLUMN() - COLUMN($AB5)), 2)</f>
        <v>0x59</v>
      </c>
      <c r="AC5" s="58" t="str">
        <f t="shared" si="11"/>
        <v>0x32</v>
      </c>
      <c r="AD5" s="58" t="str">
        <f t="shared" si="11"/>
        <v>0x02</v>
      </c>
      <c r="AE5" s="58" t="str">
        <f t="shared" si="11"/>
        <v>0x48</v>
      </c>
      <c r="AF5" s="58" t="str">
        <f t="shared" si="11"/>
        <v>0xAE</v>
      </c>
      <c r="AG5" s="58"/>
      <c r="AH5" s="58"/>
      <c r="AI5" s="58"/>
      <c r="AJ5" s="58"/>
      <c r="AK5" s="58"/>
      <c r="AL5" s="58"/>
      <c r="AM5" s="58"/>
      <c r="AN5" s="58"/>
      <c r="AO5" s="58"/>
      <c r="AP5" s="58"/>
      <c r="AQ5" s="58"/>
      <c r="AR5" s="58"/>
      <c r="AS5" s="88"/>
    </row>
    <row r="6">
      <c r="A6" s="33" t="str">
        <f t="shared" si="2"/>
        <v>E90D</v>
      </c>
      <c r="B6" s="34" t="str">
        <f>IFERROR(__xludf.DUMMYFUNCTION("REGEXREPLACE($M6, ""(?i)^8301(E000|E100|E200|E300)?"", """")"),"E90D00120FBCA4B5A4B5590FFB48AE")</f>
        <v>E90D00120FBCA4B5A4B5590FFB48AE</v>
      </c>
      <c r="C6" s="36" t="s">
        <v>30</v>
      </c>
      <c r="D6" s="36" t="s">
        <v>503</v>
      </c>
      <c r="E6" s="36" t="s">
        <v>495</v>
      </c>
      <c r="F6" s="36" t="s">
        <v>479</v>
      </c>
      <c r="G6" s="36" t="s">
        <v>115</v>
      </c>
      <c r="H6" s="36">
        <v>10.0</v>
      </c>
      <c r="I6" s="36" t="s">
        <v>504</v>
      </c>
      <c r="J6" s="36" t="s">
        <v>106</v>
      </c>
      <c r="K6" s="36" t="s">
        <v>107</v>
      </c>
      <c r="L6" s="37">
        <v>46220.0</v>
      </c>
      <c r="M6" s="38" t="s">
        <v>260</v>
      </c>
      <c r="N6" s="35"/>
      <c r="O6" s="39" t="str">
        <f t="shared" si="3"/>
        <v>0x0D</v>
      </c>
      <c r="P6" s="40" t="str">
        <f t="shared" si="4"/>
        <v>0x00</v>
      </c>
      <c r="Q6" s="40" t="str">
        <f t="shared" si="5"/>
        <v>0x12</v>
      </c>
      <c r="R6" s="42">
        <v>5.0</v>
      </c>
      <c r="S6" s="42" t="str">
        <f t="shared" si="6"/>
        <v>0x0F</v>
      </c>
      <c r="T6" s="48" t="str">
        <f t="shared" si="7"/>
        <v>0xBC</v>
      </c>
      <c r="U6" s="48" t="str">
        <f t="shared" si="8"/>
        <v>0xA4</v>
      </c>
      <c r="V6" s="48" t="str">
        <f t="shared" si="12"/>
        <v>0xB5</v>
      </c>
      <c r="W6" s="42"/>
      <c r="X6" s="48" t="str">
        <f t="shared" si="13"/>
        <v>0xA4</v>
      </c>
      <c r="Y6" s="48" t="str">
        <f t="shared" si="14"/>
        <v>0xB5</v>
      </c>
      <c r="Z6" s="48"/>
      <c r="AA6" s="40">
        <v>21.0</v>
      </c>
      <c r="AB6" s="40" t="str">
        <f t="shared" ref="AB6:AF6" si="15">"0x" &amp; MID($B6,$AA6  + 2*(COLUMN() - COLUMN($AB6)), 2)</f>
        <v>0x59</v>
      </c>
      <c r="AC6" s="40" t="str">
        <f t="shared" si="15"/>
        <v>0x0F</v>
      </c>
      <c r="AD6" s="40" t="str">
        <f t="shared" si="15"/>
        <v>0xFB</v>
      </c>
      <c r="AE6" s="40" t="str">
        <f t="shared" si="15"/>
        <v>0x48</v>
      </c>
      <c r="AF6" s="40" t="str">
        <f t="shared" si="15"/>
        <v>0xAE</v>
      </c>
      <c r="AG6" s="40"/>
      <c r="AH6" s="40"/>
      <c r="AI6" s="40"/>
      <c r="AJ6" s="40"/>
      <c r="AK6" s="40"/>
      <c r="AL6" s="40"/>
      <c r="AM6" s="40"/>
      <c r="AN6" s="40"/>
      <c r="AO6" s="40"/>
      <c r="AP6" s="40"/>
      <c r="AQ6" s="40"/>
      <c r="AR6" s="40"/>
      <c r="AS6" s="75"/>
    </row>
    <row r="7">
      <c r="A7" s="51" t="str">
        <f t="shared" si="2"/>
        <v>E90D</v>
      </c>
      <c r="B7" s="52" t="str">
        <f>IFERROR(__xludf.DUMMYFUNCTION("REGEXREPLACE($M7, ""(?i)^8301(E000|E100|E200|E300)?"", """")"),"E90D00160FB2AFB2AFB259190E48AE")</f>
        <v>E90D00160FB2AFB2AFB259190E48AE</v>
      </c>
      <c r="C7" s="65" t="s">
        <v>30</v>
      </c>
      <c r="D7" s="65" t="s">
        <v>503</v>
      </c>
      <c r="E7" s="65" t="s">
        <v>495</v>
      </c>
      <c r="F7" s="65" t="s">
        <v>479</v>
      </c>
      <c r="G7" s="65" t="s">
        <v>115</v>
      </c>
      <c r="H7" s="99">
        <v>46310.0</v>
      </c>
      <c r="I7" s="65"/>
      <c r="J7" s="65" t="s">
        <v>106</v>
      </c>
      <c r="K7" s="65" t="s">
        <v>107</v>
      </c>
      <c r="L7" s="67">
        <v>46220.0</v>
      </c>
      <c r="M7" s="68" t="s">
        <v>264</v>
      </c>
      <c r="N7" s="53"/>
      <c r="O7" s="57" t="str">
        <f t="shared" si="3"/>
        <v>0x0D</v>
      </c>
      <c r="P7" s="58" t="str">
        <f t="shared" si="4"/>
        <v>0x00</v>
      </c>
      <c r="Q7" s="58" t="str">
        <f t="shared" si="5"/>
        <v>0x16</v>
      </c>
      <c r="R7" s="59">
        <v>5.0</v>
      </c>
      <c r="S7" s="59" t="str">
        <f t="shared" si="6"/>
        <v>0x0F</v>
      </c>
      <c r="T7" s="71" t="str">
        <f t="shared" si="7"/>
        <v>0xB2</v>
      </c>
      <c r="U7" s="71" t="str">
        <f t="shared" si="8"/>
        <v>0xAF</v>
      </c>
      <c r="V7" s="71" t="str">
        <f t="shared" si="12"/>
        <v>0xB2</v>
      </c>
      <c r="W7" s="59"/>
      <c r="X7" s="71" t="str">
        <f t="shared" si="13"/>
        <v>0xAF</v>
      </c>
      <c r="Y7" s="71" t="str">
        <f t="shared" si="14"/>
        <v>0xB2</v>
      </c>
      <c r="Z7" s="71"/>
      <c r="AA7" s="58">
        <v>21.0</v>
      </c>
      <c r="AB7" s="58" t="str">
        <f t="shared" ref="AB7:AF7" si="16">"0x" &amp; MID($B7,$AA7  + 2*(COLUMN() - COLUMN($AB7)), 2)</f>
        <v>0x59</v>
      </c>
      <c r="AC7" s="58" t="str">
        <f t="shared" si="16"/>
        <v>0x19</v>
      </c>
      <c r="AD7" s="58" t="str">
        <f t="shared" si="16"/>
        <v>0x0E</v>
      </c>
      <c r="AE7" s="58" t="str">
        <f t="shared" si="16"/>
        <v>0x48</v>
      </c>
      <c r="AF7" s="58" t="str">
        <f t="shared" si="16"/>
        <v>0xAE</v>
      </c>
      <c r="AG7" s="58"/>
      <c r="AH7" s="58"/>
      <c r="AI7" s="58"/>
      <c r="AJ7" s="58"/>
      <c r="AK7" s="58"/>
      <c r="AL7" s="58"/>
      <c r="AM7" s="58"/>
      <c r="AN7" s="58"/>
      <c r="AO7" s="58"/>
      <c r="AP7" s="58"/>
      <c r="AQ7" s="58"/>
      <c r="AR7" s="58"/>
      <c r="AS7" s="88"/>
    </row>
    <row r="8">
      <c r="A8" s="33" t="str">
        <f t="shared" si="2"/>
        <v>E90D</v>
      </c>
      <c r="B8" s="34" t="str">
        <f>IFERROR(__xludf.DUMMYFUNCTION("REGEXREPLACE($M8, ""(?i)^8301(E000|E100|E200|E300)?"", """")"),"E90D00160FB2B2B2B2B259190248AE")</f>
        <v>E90D00160FB2B2B2B2B259190248AE</v>
      </c>
      <c r="C8" s="36" t="s">
        <v>30</v>
      </c>
      <c r="D8" s="36" t="s">
        <v>503</v>
      </c>
      <c r="E8" s="36" t="s">
        <v>495</v>
      </c>
      <c r="F8" s="36" t="s">
        <v>479</v>
      </c>
      <c r="G8" s="36" t="s">
        <v>115</v>
      </c>
      <c r="H8" s="36">
        <v>15.0</v>
      </c>
      <c r="I8" s="36"/>
      <c r="J8" s="36" t="s">
        <v>106</v>
      </c>
      <c r="K8" s="36" t="s">
        <v>107</v>
      </c>
      <c r="L8" s="37">
        <v>46220.0</v>
      </c>
      <c r="M8" s="38" t="s">
        <v>265</v>
      </c>
      <c r="N8" s="36"/>
      <c r="O8" s="39" t="str">
        <f t="shared" si="3"/>
        <v>0x0D</v>
      </c>
      <c r="P8" s="40" t="str">
        <f t="shared" si="4"/>
        <v>0x00</v>
      </c>
      <c r="Q8" s="40" t="str">
        <f t="shared" si="5"/>
        <v>0x16</v>
      </c>
      <c r="R8" s="42">
        <v>5.0</v>
      </c>
      <c r="S8" s="42" t="str">
        <f t="shared" si="6"/>
        <v>0x0F</v>
      </c>
      <c r="T8" s="48" t="str">
        <f t="shared" si="7"/>
        <v>0xB2</v>
      </c>
      <c r="U8" s="48" t="str">
        <f t="shared" si="8"/>
        <v>0xB2</v>
      </c>
      <c r="V8" s="48" t="str">
        <f t="shared" si="12"/>
        <v>0xB2</v>
      </c>
      <c r="W8" s="42"/>
      <c r="X8" s="48" t="str">
        <f t="shared" si="13"/>
        <v>0xB2</v>
      </c>
      <c r="Y8" s="48" t="str">
        <f t="shared" si="14"/>
        <v>0xB2</v>
      </c>
      <c r="Z8" s="48"/>
      <c r="AA8" s="40">
        <v>21.0</v>
      </c>
      <c r="AB8" s="40" t="str">
        <f t="shared" ref="AB8:AF8" si="17">"0x" &amp; MID($B8,$AA8  + 2*(COLUMN() - COLUMN($AB8)), 2)</f>
        <v>0x59</v>
      </c>
      <c r="AC8" s="40" t="str">
        <f t="shared" si="17"/>
        <v>0x19</v>
      </c>
      <c r="AD8" s="40" t="str">
        <f t="shared" si="17"/>
        <v>0x02</v>
      </c>
      <c r="AE8" s="40" t="str">
        <f t="shared" si="17"/>
        <v>0x48</v>
      </c>
      <c r="AF8" s="40" t="str">
        <f t="shared" si="17"/>
        <v>0xAE</v>
      </c>
      <c r="AG8" s="40"/>
      <c r="AH8" s="40"/>
      <c r="AI8" s="40"/>
      <c r="AJ8" s="40"/>
      <c r="AK8" s="40"/>
      <c r="AL8" s="40"/>
      <c r="AM8" s="40"/>
      <c r="AN8" s="40"/>
      <c r="AO8" s="40"/>
      <c r="AP8" s="40"/>
      <c r="AQ8" s="40"/>
      <c r="AR8" s="40"/>
      <c r="AS8" s="75"/>
    </row>
    <row r="9">
      <c r="A9" s="51" t="str">
        <f t="shared" si="2"/>
        <v>E90E</v>
      </c>
      <c r="B9" s="52" t="str">
        <f>IFERROR(__xludf.DUMMYFUNCTION("REGEXREPLACE($M9, ""(?i)^8301(E000|E100|E200|E300)?"", """")"),"E90E00120FBBB5A4B5A4590A0148AEB0")</f>
        <v>E90E00120FBBB5A4B5A4590A0148AEB0</v>
      </c>
      <c r="C9" s="65" t="s">
        <v>30</v>
      </c>
      <c r="D9" s="65" t="s">
        <v>503</v>
      </c>
      <c r="E9" s="65" t="s">
        <v>495</v>
      </c>
      <c r="F9" s="65" t="s">
        <v>479</v>
      </c>
      <c r="G9" s="65" t="s">
        <v>115</v>
      </c>
      <c r="H9" s="99">
        <v>46310.0</v>
      </c>
      <c r="I9" s="65"/>
      <c r="J9" s="65" t="s">
        <v>75</v>
      </c>
      <c r="K9" s="65" t="s">
        <v>143</v>
      </c>
      <c r="L9" s="67">
        <v>46208.0</v>
      </c>
      <c r="M9" s="68" t="s">
        <v>301</v>
      </c>
      <c r="N9" s="53"/>
      <c r="O9" s="57" t="str">
        <f t="shared" si="3"/>
        <v>0x0E</v>
      </c>
      <c r="P9" s="58" t="str">
        <f t="shared" si="4"/>
        <v>0x00</v>
      </c>
      <c r="Q9" s="58" t="str">
        <f t="shared" si="5"/>
        <v>0x12</v>
      </c>
      <c r="R9" s="59">
        <v>5.0</v>
      </c>
      <c r="S9" s="59" t="str">
        <f t="shared" si="6"/>
        <v>0x0F</v>
      </c>
      <c r="T9" s="71" t="str">
        <f t="shared" si="7"/>
        <v>0xBB</v>
      </c>
      <c r="U9" s="71" t="str">
        <f t="shared" si="8"/>
        <v>0xB5</v>
      </c>
      <c r="V9" s="71" t="str">
        <f t="shared" si="12"/>
        <v>0xA4</v>
      </c>
      <c r="W9" s="59"/>
      <c r="X9" s="71" t="str">
        <f t="shared" si="13"/>
        <v>0xB5</v>
      </c>
      <c r="Y9" s="71" t="str">
        <f t="shared" si="14"/>
        <v>0xA4</v>
      </c>
      <c r="Z9" s="71"/>
      <c r="AA9" s="58">
        <v>21.0</v>
      </c>
      <c r="AB9" s="58" t="str">
        <f t="shared" ref="AB9:AF9" si="18">"0x" &amp; MID($B9,$AA9  + 2*(COLUMN() - COLUMN($AB9)), 2)</f>
        <v>0x59</v>
      </c>
      <c r="AC9" s="58" t="str">
        <f t="shared" si="18"/>
        <v>0x0A</v>
      </c>
      <c r="AD9" s="58" t="str">
        <f t="shared" si="18"/>
        <v>0x01</v>
      </c>
      <c r="AE9" s="58" t="str">
        <f t="shared" si="18"/>
        <v>0x48</v>
      </c>
      <c r="AF9" s="58" t="str">
        <f t="shared" si="18"/>
        <v>0xAE</v>
      </c>
      <c r="AG9" s="58"/>
      <c r="AH9" s="58"/>
      <c r="AI9" s="58"/>
      <c r="AJ9" s="58"/>
      <c r="AK9" s="58"/>
      <c r="AL9" s="58"/>
      <c r="AM9" s="58"/>
      <c r="AN9" s="58"/>
      <c r="AO9" s="58"/>
      <c r="AP9" s="58"/>
      <c r="AQ9" s="58"/>
      <c r="AR9" s="58"/>
      <c r="AS9" s="88" t="str">
        <f>"0x"&amp;MID($B9,31,2)</f>
        <v>0xB0</v>
      </c>
    </row>
    <row r="10">
      <c r="A10" s="33" t="str">
        <f t="shared" si="2"/>
        <v>E90F</v>
      </c>
      <c r="B10" s="34" t="str">
        <f>IFERROR(__xludf.DUMMYFUNCTION("REGEXREPLACE($M10, ""(?i)^8301(E000|E100|E200|E300)?"", """")"),"E90F00010F5D5B5803488DD246020300B0")</f>
        <v>E90F00010F5D5B5803488DD246020300B0</v>
      </c>
      <c r="C10" s="36" t="s">
        <v>30</v>
      </c>
      <c r="D10" s="36" t="s">
        <v>506</v>
      </c>
      <c r="E10" s="36" t="s">
        <v>478</v>
      </c>
      <c r="F10" s="36" t="s">
        <v>480</v>
      </c>
      <c r="G10" s="36" t="s">
        <v>115</v>
      </c>
      <c r="H10" s="36">
        <v>4.0</v>
      </c>
      <c r="I10" s="36" t="s">
        <v>116</v>
      </c>
      <c r="J10" s="36" t="s">
        <v>106</v>
      </c>
      <c r="K10" s="36" t="s">
        <v>175</v>
      </c>
      <c r="L10" s="37">
        <v>46220.0</v>
      </c>
      <c r="M10" s="38" t="s">
        <v>325</v>
      </c>
      <c r="N10" s="36"/>
      <c r="O10" s="39" t="str">
        <f t="shared" si="3"/>
        <v>0x0F</v>
      </c>
      <c r="P10" s="40" t="str">
        <f t="shared" si="4"/>
        <v>0x00</v>
      </c>
      <c r="Q10" s="40" t="str">
        <f t="shared" si="5"/>
        <v>0x01</v>
      </c>
      <c r="R10" s="42">
        <v>2.0</v>
      </c>
      <c r="S10" s="42" t="str">
        <f t="shared" si="6"/>
        <v>0x0F</v>
      </c>
      <c r="T10" s="48" t="str">
        <f t="shared" si="7"/>
        <v>0x5D</v>
      </c>
      <c r="U10" s="48" t="str">
        <f t="shared" si="8"/>
        <v>0x5B</v>
      </c>
      <c r="V10" s="48"/>
      <c r="W10" s="42"/>
      <c r="X10" s="48"/>
      <c r="Y10" s="48"/>
      <c r="Z10" s="48"/>
      <c r="AA10" s="40">
        <v>15.0</v>
      </c>
      <c r="AB10" s="40" t="str">
        <f t="shared" ref="AB10:AJ10" si="19">"0x" &amp; MID($B10,$AA10  + 2*(COLUMN() - COLUMN($AB10)), 2)</f>
        <v>0x58</v>
      </c>
      <c r="AC10" s="40" t="str">
        <f t="shared" si="19"/>
        <v>0x03</v>
      </c>
      <c r="AD10" s="40" t="str">
        <f t="shared" si="19"/>
        <v>0x48</v>
      </c>
      <c r="AE10" s="40" t="str">
        <f t="shared" si="19"/>
        <v>0x8D</v>
      </c>
      <c r="AF10" s="40" t="str">
        <f t="shared" si="19"/>
        <v>0xD2</v>
      </c>
      <c r="AG10" s="40" t="str">
        <f t="shared" si="19"/>
        <v>0x46</v>
      </c>
      <c r="AH10" s="40" t="str">
        <f t="shared" si="19"/>
        <v>0x02</v>
      </c>
      <c r="AI10" s="40" t="str">
        <f t="shared" si="19"/>
        <v>0x03</v>
      </c>
      <c r="AJ10" s="40" t="str">
        <f t="shared" si="19"/>
        <v>0x00</v>
      </c>
      <c r="AK10" s="40"/>
      <c r="AL10" s="40"/>
      <c r="AM10" s="40"/>
      <c r="AN10" s="40"/>
      <c r="AO10" s="40"/>
      <c r="AP10" s="40"/>
      <c r="AQ10" s="40"/>
      <c r="AR10" s="40"/>
      <c r="AS10" s="75" t="str">
        <f>"0x"&amp;MID($B10,33,2)</f>
        <v>0xB0</v>
      </c>
    </row>
    <row r="11">
      <c r="A11" s="51" t="str">
        <f t="shared" si="2"/>
        <v>E910</v>
      </c>
      <c r="B11" s="52" t="str">
        <f>IFERROR(__xludf.DUMMYFUNCTION("REGEXREPLACE($M11, ""(?i)^8301(E000|E100|E200|E300)?"", """")"),"E91000010F5353F5A0D037F2D241C60500B0")</f>
        <v>E91000010F5353F5A0D037F2D241C60500B0</v>
      </c>
      <c r="C11" s="65" t="s">
        <v>30</v>
      </c>
      <c r="D11" s="65"/>
      <c r="E11" s="65" t="s">
        <v>478</v>
      </c>
      <c r="F11" s="65" t="s">
        <v>480</v>
      </c>
      <c r="G11" s="65" t="s">
        <v>115</v>
      </c>
      <c r="H11" s="89">
        <v>5.0</v>
      </c>
      <c r="I11" s="89" t="s">
        <v>116</v>
      </c>
      <c r="J11" s="65" t="s">
        <v>217</v>
      </c>
      <c r="K11" s="65" t="s">
        <v>218</v>
      </c>
      <c r="L11" s="67">
        <v>46244.0</v>
      </c>
      <c r="M11" s="68" t="s">
        <v>451</v>
      </c>
      <c r="N11" s="65"/>
      <c r="O11" s="57" t="str">
        <f t="shared" si="3"/>
        <v>0x10</v>
      </c>
      <c r="P11" s="58" t="str">
        <f t="shared" si="4"/>
        <v>0x00</v>
      </c>
      <c r="Q11" s="58" t="str">
        <f t="shared" si="5"/>
        <v>0x01</v>
      </c>
      <c r="R11" s="59">
        <v>2.0</v>
      </c>
      <c r="S11" s="59" t="str">
        <f t="shared" si="6"/>
        <v>0x0F</v>
      </c>
      <c r="T11" s="71" t="str">
        <f t="shared" si="7"/>
        <v>0x53</v>
      </c>
      <c r="U11" s="71" t="str">
        <f t="shared" si="8"/>
        <v>0x53</v>
      </c>
      <c r="V11" s="71"/>
      <c r="W11" s="59"/>
      <c r="X11" s="71"/>
      <c r="Y11" s="71"/>
      <c r="Z11" s="71"/>
      <c r="AA11" s="58">
        <v>15.0</v>
      </c>
      <c r="AB11" s="58" t="str">
        <f t="shared" ref="AB11:AK11" si="20">"0x" &amp; MID($B11,$AA11  + 2*(COLUMN() - COLUMN($AB11)), 2)</f>
        <v>0xF5</v>
      </c>
      <c r="AC11" s="58" t="str">
        <f t="shared" si="20"/>
        <v>0xA0</v>
      </c>
      <c r="AD11" s="58" t="str">
        <f t="shared" si="20"/>
        <v>0xD0</v>
      </c>
      <c r="AE11" s="58" t="str">
        <f t="shared" si="20"/>
        <v>0x37</v>
      </c>
      <c r="AF11" s="58" t="str">
        <f t="shared" si="20"/>
        <v>0xF2</v>
      </c>
      <c r="AG11" s="58" t="str">
        <f t="shared" si="20"/>
        <v>0xD2</v>
      </c>
      <c r="AH11" s="58" t="str">
        <f t="shared" si="20"/>
        <v>0x41</v>
      </c>
      <c r="AI11" s="58" t="str">
        <f t="shared" si="20"/>
        <v>0xC6</v>
      </c>
      <c r="AJ11" s="58" t="str">
        <f t="shared" si="20"/>
        <v>0x05</v>
      </c>
      <c r="AK11" s="58" t="str">
        <f t="shared" si="20"/>
        <v>0x00</v>
      </c>
      <c r="AL11" s="58"/>
      <c r="AM11" s="58"/>
      <c r="AN11" s="58"/>
      <c r="AO11" s="58"/>
      <c r="AP11" s="58"/>
      <c r="AQ11" s="58"/>
      <c r="AR11" s="58"/>
      <c r="AS11" s="88" t="str">
        <f t="shared" ref="AS11:AS13" si="22">"0x"&amp;MID($B11,35,2)</f>
        <v>0xB0</v>
      </c>
    </row>
    <row r="12">
      <c r="A12" s="33" t="str">
        <f t="shared" si="2"/>
        <v>E910</v>
      </c>
      <c r="B12" s="34" t="str">
        <f>IFERROR(__xludf.DUMMYFUNCTION("REGEXREPLACE($M12, ""(?i)^8301(E000|E100|E200|E300)?"", """")"),"E91000010F5C55F4A0D037F2D241C60500B9")</f>
        <v>E91000010F5C55F4A0D037F2D241C60500B9</v>
      </c>
      <c r="C12" s="36" t="s">
        <v>30</v>
      </c>
      <c r="D12" s="36"/>
      <c r="E12" s="36" t="s">
        <v>478</v>
      </c>
      <c r="F12" s="36" t="s">
        <v>480</v>
      </c>
      <c r="G12" s="36" t="s">
        <v>115</v>
      </c>
      <c r="H12" s="69">
        <v>5.0</v>
      </c>
      <c r="I12" s="69" t="s">
        <v>116</v>
      </c>
      <c r="J12" s="36" t="s">
        <v>129</v>
      </c>
      <c r="K12" s="36" t="s">
        <v>137</v>
      </c>
      <c r="L12" s="37">
        <v>46207.0</v>
      </c>
      <c r="M12" s="44" t="s">
        <v>333</v>
      </c>
      <c r="N12" s="36"/>
      <c r="O12" s="39" t="str">
        <f t="shared" si="3"/>
        <v>0x10</v>
      </c>
      <c r="P12" s="40" t="str">
        <f t="shared" si="4"/>
        <v>0x00</v>
      </c>
      <c r="Q12" s="40" t="str">
        <f t="shared" si="5"/>
        <v>0x01</v>
      </c>
      <c r="R12" s="42">
        <v>2.0</v>
      </c>
      <c r="S12" s="42" t="str">
        <f t="shared" si="6"/>
        <v>0x0F</v>
      </c>
      <c r="T12" s="48" t="str">
        <f t="shared" si="7"/>
        <v>0x5C</v>
      </c>
      <c r="U12" s="48" t="str">
        <f t="shared" si="8"/>
        <v>0x55</v>
      </c>
      <c r="V12" s="48"/>
      <c r="W12" s="42"/>
      <c r="X12" s="48"/>
      <c r="Y12" s="48"/>
      <c r="Z12" s="48"/>
      <c r="AA12" s="40">
        <v>15.0</v>
      </c>
      <c r="AB12" s="40" t="str">
        <f t="shared" ref="AB12:AK12" si="21">"0x" &amp; MID($B12,$AA12  + 2*(COLUMN() - COLUMN($AB12)), 2)</f>
        <v>0xF4</v>
      </c>
      <c r="AC12" s="40" t="str">
        <f t="shared" si="21"/>
        <v>0xA0</v>
      </c>
      <c r="AD12" s="40" t="str">
        <f t="shared" si="21"/>
        <v>0xD0</v>
      </c>
      <c r="AE12" s="40" t="str">
        <f t="shared" si="21"/>
        <v>0x37</v>
      </c>
      <c r="AF12" s="40" t="str">
        <f t="shared" si="21"/>
        <v>0xF2</v>
      </c>
      <c r="AG12" s="40" t="str">
        <f t="shared" si="21"/>
        <v>0xD2</v>
      </c>
      <c r="AH12" s="40" t="str">
        <f t="shared" si="21"/>
        <v>0x41</v>
      </c>
      <c r="AI12" s="40" t="str">
        <f t="shared" si="21"/>
        <v>0xC6</v>
      </c>
      <c r="AJ12" s="40" t="str">
        <f t="shared" si="21"/>
        <v>0x05</v>
      </c>
      <c r="AK12" s="40" t="str">
        <f t="shared" si="21"/>
        <v>0x00</v>
      </c>
      <c r="AL12" s="40"/>
      <c r="AM12" s="40"/>
      <c r="AN12" s="40"/>
      <c r="AO12" s="40"/>
      <c r="AP12" s="40"/>
      <c r="AQ12" s="40"/>
      <c r="AR12" s="40"/>
      <c r="AS12" s="75" t="str">
        <f t="shared" si="22"/>
        <v>0xB9</v>
      </c>
    </row>
    <row r="13">
      <c r="A13" s="51" t="str">
        <f t="shared" si="2"/>
        <v>E910</v>
      </c>
      <c r="B13" s="52" t="str">
        <f>IFERROR(__xludf.DUMMYFUNCTION("REGEXREPLACE($M13, ""(?i)^8301(E000|E100|E200|E300)?"", """")"),"E91000060F5555F1A0D037F2D241C60300B0")</f>
        <v>E91000060F5555F1A0D037F2D241C60300B0</v>
      </c>
      <c r="C13" s="65" t="s">
        <v>30</v>
      </c>
      <c r="D13" s="65" t="s">
        <v>507</v>
      </c>
      <c r="E13" s="65" t="s">
        <v>478</v>
      </c>
      <c r="F13" s="65" t="s">
        <v>480</v>
      </c>
      <c r="G13" s="65" t="s">
        <v>115</v>
      </c>
      <c r="H13" s="89">
        <v>5.0</v>
      </c>
      <c r="I13" s="89" t="s">
        <v>116</v>
      </c>
      <c r="J13" s="65" t="s">
        <v>129</v>
      </c>
      <c r="K13" s="89" t="s">
        <v>137</v>
      </c>
      <c r="L13" s="67">
        <v>46240.0</v>
      </c>
      <c r="M13" s="56" t="s">
        <v>351</v>
      </c>
      <c r="N13" s="65"/>
      <c r="O13" s="57" t="str">
        <f t="shared" si="3"/>
        <v>0x10</v>
      </c>
      <c r="P13" s="58" t="str">
        <f t="shared" si="4"/>
        <v>0x00</v>
      </c>
      <c r="Q13" s="58" t="str">
        <f t="shared" si="5"/>
        <v>0x06</v>
      </c>
      <c r="R13" s="59">
        <v>2.0</v>
      </c>
      <c r="S13" s="59" t="str">
        <f t="shared" si="6"/>
        <v>0x0F</v>
      </c>
      <c r="T13" s="71" t="str">
        <f t="shared" si="7"/>
        <v>0x55</v>
      </c>
      <c r="U13" s="71" t="str">
        <f t="shared" si="8"/>
        <v>0x55</v>
      </c>
      <c r="V13" s="71"/>
      <c r="W13" s="59"/>
      <c r="X13" s="71"/>
      <c r="Y13" s="71"/>
      <c r="Z13" s="71"/>
      <c r="AA13" s="58">
        <v>15.0</v>
      </c>
      <c r="AB13" s="58" t="str">
        <f t="shared" ref="AB13:AK13" si="23">"0x" &amp; MID($B13,$AA13  + 2*(COLUMN() - COLUMN($AB13)), 2)</f>
        <v>0xF1</v>
      </c>
      <c r="AC13" s="58" t="str">
        <f t="shared" si="23"/>
        <v>0xA0</v>
      </c>
      <c r="AD13" s="58" t="str">
        <f t="shared" si="23"/>
        <v>0xD0</v>
      </c>
      <c r="AE13" s="58" t="str">
        <f t="shared" si="23"/>
        <v>0x37</v>
      </c>
      <c r="AF13" s="58" t="str">
        <f t="shared" si="23"/>
        <v>0xF2</v>
      </c>
      <c r="AG13" s="58" t="str">
        <f t="shared" si="23"/>
        <v>0xD2</v>
      </c>
      <c r="AH13" s="58" t="str">
        <f t="shared" si="23"/>
        <v>0x41</v>
      </c>
      <c r="AI13" s="58" t="str">
        <f t="shared" si="23"/>
        <v>0xC6</v>
      </c>
      <c r="AJ13" s="58" t="str">
        <f t="shared" si="23"/>
        <v>0x03</v>
      </c>
      <c r="AK13" s="58" t="str">
        <f t="shared" si="23"/>
        <v>0x00</v>
      </c>
      <c r="AL13" s="58"/>
      <c r="AM13" s="58"/>
      <c r="AN13" s="58"/>
      <c r="AO13" s="58"/>
      <c r="AP13" s="58"/>
      <c r="AQ13" s="58"/>
      <c r="AR13" s="58"/>
      <c r="AS13" s="88" t="str">
        <f t="shared" si="22"/>
        <v>0xB0</v>
      </c>
    </row>
    <row r="14">
      <c r="A14" s="100" t="str">
        <f t="shared" si="2"/>
        <v>E911</v>
      </c>
      <c r="B14" s="101" t="str">
        <f>IFERROR(__xludf.DUMMYFUNCTION("REGEXREPLACE($M14, ""(?i)^8301(E000|E100|E200|E300)?"", """")"),"E91100010F48485BF01834374894D13D050AB0")</f>
        <v>E91100010F48485BF01834374894D13D050AB0</v>
      </c>
      <c r="C14" s="102" t="s">
        <v>47</v>
      </c>
      <c r="D14" s="102" t="s">
        <v>507</v>
      </c>
      <c r="E14" s="102" t="s">
        <v>478</v>
      </c>
      <c r="F14" s="102" t="s">
        <v>480</v>
      </c>
      <c r="G14" s="102" t="s">
        <v>115</v>
      </c>
      <c r="H14" s="103">
        <v>5.0</v>
      </c>
      <c r="I14" s="103" t="s">
        <v>116</v>
      </c>
      <c r="J14" s="102" t="s">
        <v>106</v>
      </c>
      <c r="K14" s="102" t="s">
        <v>175</v>
      </c>
      <c r="L14" s="104">
        <v>46220.0</v>
      </c>
      <c r="M14" s="105" t="s">
        <v>354</v>
      </c>
      <c r="N14" s="102" t="s">
        <v>153</v>
      </c>
      <c r="O14" s="106" t="str">
        <f t="shared" si="3"/>
        <v>0x11</v>
      </c>
      <c r="P14" s="107" t="str">
        <f t="shared" si="4"/>
        <v>0x00</v>
      </c>
      <c r="Q14" s="107" t="str">
        <f t="shared" si="5"/>
        <v>0x01</v>
      </c>
      <c r="R14" s="108">
        <v>2.0</v>
      </c>
      <c r="S14" s="108" t="str">
        <f t="shared" si="6"/>
        <v>0x0F</v>
      </c>
      <c r="T14" s="109" t="str">
        <f t="shared" si="7"/>
        <v>0x48</v>
      </c>
      <c r="U14" s="109" t="str">
        <f t="shared" si="8"/>
        <v>0x48</v>
      </c>
      <c r="V14" s="109"/>
      <c r="W14" s="108"/>
      <c r="X14" s="109"/>
      <c r="Y14" s="109"/>
      <c r="Z14" s="109"/>
      <c r="AA14" s="107">
        <v>15.0</v>
      </c>
      <c r="AB14" s="107" t="str">
        <f t="shared" ref="AB14:AL14" si="24">"0x" &amp; MID($B14,$AA14  + 2*(COLUMN() - COLUMN($AB14)), 2)</f>
        <v>0x5B</v>
      </c>
      <c r="AC14" s="107" t="str">
        <f t="shared" si="24"/>
        <v>0xF0</v>
      </c>
      <c r="AD14" s="107" t="str">
        <f t="shared" si="24"/>
        <v>0x18</v>
      </c>
      <c r="AE14" s="107" t="str">
        <f t="shared" si="24"/>
        <v>0x34</v>
      </c>
      <c r="AF14" s="107" t="str">
        <f t="shared" si="24"/>
        <v>0x37</v>
      </c>
      <c r="AG14" s="107" t="str">
        <f t="shared" si="24"/>
        <v>0x48</v>
      </c>
      <c r="AH14" s="107" t="str">
        <f t="shared" si="24"/>
        <v>0x94</v>
      </c>
      <c r="AI14" s="107" t="str">
        <f t="shared" si="24"/>
        <v>0xD1</v>
      </c>
      <c r="AJ14" s="107" t="str">
        <f t="shared" si="24"/>
        <v>0x3D</v>
      </c>
      <c r="AK14" s="107" t="str">
        <f t="shared" si="24"/>
        <v>0x05</v>
      </c>
      <c r="AL14" s="107" t="str">
        <f t="shared" si="24"/>
        <v>0x0A</v>
      </c>
      <c r="AM14" s="107"/>
      <c r="AN14" s="107"/>
      <c r="AO14" s="107"/>
      <c r="AP14" s="107"/>
      <c r="AQ14" s="107"/>
      <c r="AR14" s="107"/>
      <c r="AS14" s="110" t="str">
        <f t="shared" ref="AS14:AS19" si="26">"0x"&amp;MID($B14,37,2)</f>
        <v>0xB0</v>
      </c>
    </row>
    <row r="15">
      <c r="A15" s="111" t="str">
        <f t="shared" si="2"/>
        <v>E911</v>
      </c>
      <c r="B15" s="112" t="str">
        <f>IFERROR(__xludf.DUMMYFUNCTION("REGEXREPLACE($M15, ""(?i)^8301(E000|E100|E200|E300)?"", """")"),"E91100010F54535BF04040374894D13D0905B0")</f>
        <v>E91100010F54535BF04040374894D13D0905B0</v>
      </c>
      <c r="C15" s="113" t="s">
        <v>30</v>
      </c>
      <c r="D15" s="113" t="s">
        <v>507</v>
      </c>
      <c r="E15" s="113" t="s">
        <v>478</v>
      </c>
      <c r="F15" s="113" t="s">
        <v>480</v>
      </c>
      <c r="G15" s="113" t="s">
        <v>115</v>
      </c>
      <c r="H15" s="113">
        <v>15.0</v>
      </c>
      <c r="I15" s="113" t="s">
        <v>504</v>
      </c>
      <c r="J15" s="113" t="s">
        <v>217</v>
      </c>
      <c r="K15" s="113" t="s">
        <v>218</v>
      </c>
      <c r="L15" s="114">
        <v>46244.0</v>
      </c>
      <c r="M15" s="115" t="s">
        <v>463</v>
      </c>
      <c r="N15" s="113" t="s">
        <v>153</v>
      </c>
      <c r="O15" s="116" t="str">
        <f t="shared" si="3"/>
        <v>0x11</v>
      </c>
      <c r="P15" s="117" t="str">
        <f t="shared" si="4"/>
        <v>0x00</v>
      </c>
      <c r="Q15" s="117" t="str">
        <f t="shared" si="5"/>
        <v>0x01</v>
      </c>
      <c r="R15" s="118">
        <v>2.0</v>
      </c>
      <c r="S15" s="119" t="str">
        <f t="shared" si="6"/>
        <v>0x0F</v>
      </c>
      <c r="T15" s="120" t="str">
        <f t="shared" si="7"/>
        <v>0x54</v>
      </c>
      <c r="U15" s="120" t="str">
        <f t="shared" si="8"/>
        <v>0x53</v>
      </c>
      <c r="V15" s="121"/>
      <c r="W15" s="122"/>
      <c r="X15" s="121"/>
      <c r="Y15" s="121"/>
      <c r="Z15" s="121"/>
      <c r="AA15" s="123">
        <v>15.0</v>
      </c>
      <c r="AB15" s="124" t="str">
        <f t="shared" ref="AB15:AL15" si="25">"0x" &amp; MID($B15,$AA15  + 2*(COLUMN() - COLUMN($AB15)), 2)</f>
        <v>0x5B</v>
      </c>
      <c r="AC15" s="124" t="str">
        <f t="shared" si="25"/>
        <v>0xF0</v>
      </c>
      <c r="AD15" s="124" t="str">
        <f t="shared" si="25"/>
        <v>0x40</v>
      </c>
      <c r="AE15" s="124" t="str">
        <f t="shared" si="25"/>
        <v>0x40</v>
      </c>
      <c r="AF15" s="124" t="str">
        <f t="shared" si="25"/>
        <v>0x37</v>
      </c>
      <c r="AG15" s="124" t="str">
        <f t="shared" si="25"/>
        <v>0x48</v>
      </c>
      <c r="AH15" s="124" t="str">
        <f t="shared" si="25"/>
        <v>0x94</v>
      </c>
      <c r="AI15" s="124" t="str">
        <f t="shared" si="25"/>
        <v>0xD1</v>
      </c>
      <c r="AJ15" s="124" t="str">
        <f t="shared" si="25"/>
        <v>0x3D</v>
      </c>
      <c r="AK15" s="124" t="str">
        <f t="shared" si="25"/>
        <v>0x09</v>
      </c>
      <c r="AL15" s="124" t="str">
        <f t="shared" si="25"/>
        <v>0x05</v>
      </c>
      <c r="AM15" s="125"/>
      <c r="AN15" s="125"/>
      <c r="AO15" s="125"/>
      <c r="AP15" s="125"/>
      <c r="AQ15" s="125"/>
      <c r="AR15" s="125"/>
      <c r="AS15" s="126" t="str">
        <f t="shared" si="26"/>
        <v>0xB0</v>
      </c>
    </row>
    <row r="16">
      <c r="A16" s="100" t="str">
        <f t="shared" si="2"/>
        <v>E911</v>
      </c>
      <c r="B16" s="101" t="str">
        <f>IFERROR(__xludf.DUMMYFUNCTION("REGEXREPLACE($M16, ""(?i)^8301(E000|E100|E200|E300)?"", """")"),"E91100020F4E4D5BF03134374894D13D0507B0")</f>
        <v>E91100020F4E4D5BF03134374894D13D0507B0</v>
      </c>
      <c r="C16" s="102" t="s">
        <v>47</v>
      </c>
      <c r="D16" s="102" t="s">
        <v>507</v>
      </c>
      <c r="E16" s="102" t="s">
        <v>478</v>
      </c>
      <c r="F16" s="102" t="s">
        <v>480</v>
      </c>
      <c r="G16" s="102" t="s">
        <v>115</v>
      </c>
      <c r="H16" s="103">
        <v>5.0</v>
      </c>
      <c r="I16" s="103" t="s">
        <v>116</v>
      </c>
      <c r="J16" s="102" t="s">
        <v>106</v>
      </c>
      <c r="K16" s="102" t="s">
        <v>175</v>
      </c>
      <c r="L16" s="104">
        <v>46220.0</v>
      </c>
      <c r="M16" s="105" t="s">
        <v>358</v>
      </c>
      <c r="N16" s="102" t="s">
        <v>153</v>
      </c>
      <c r="O16" s="106" t="str">
        <f t="shared" si="3"/>
        <v>0x11</v>
      </c>
      <c r="P16" s="107" t="str">
        <f t="shared" si="4"/>
        <v>0x00</v>
      </c>
      <c r="Q16" s="107" t="str">
        <f t="shared" si="5"/>
        <v>0x02</v>
      </c>
      <c r="R16" s="127">
        <v>2.0</v>
      </c>
      <c r="S16" s="128" t="str">
        <f t="shared" si="6"/>
        <v>0x0F</v>
      </c>
      <c r="T16" s="129" t="str">
        <f t="shared" si="7"/>
        <v>0x4E</v>
      </c>
      <c r="U16" s="129" t="str">
        <f t="shared" si="8"/>
        <v>0x4D</v>
      </c>
      <c r="V16" s="130"/>
      <c r="W16" s="131"/>
      <c r="X16" s="130"/>
      <c r="Y16" s="130"/>
      <c r="Z16" s="130"/>
      <c r="AA16" s="132">
        <v>15.0</v>
      </c>
      <c r="AB16" s="133" t="str">
        <f t="shared" ref="AB16:AL16" si="27">"0x" &amp; MID($B16,$AA16  + 2*(COLUMN() - COLUMN($AB16)), 2)</f>
        <v>0x5B</v>
      </c>
      <c r="AC16" s="133" t="str">
        <f t="shared" si="27"/>
        <v>0xF0</v>
      </c>
      <c r="AD16" s="133" t="str">
        <f t="shared" si="27"/>
        <v>0x31</v>
      </c>
      <c r="AE16" s="133" t="str">
        <f t="shared" si="27"/>
        <v>0x34</v>
      </c>
      <c r="AF16" s="133" t="str">
        <f t="shared" si="27"/>
        <v>0x37</v>
      </c>
      <c r="AG16" s="133" t="str">
        <f t="shared" si="27"/>
        <v>0x48</v>
      </c>
      <c r="AH16" s="133" t="str">
        <f t="shared" si="27"/>
        <v>0x94</v>
      </c>
      <c r="AI16" s="133" t="str">
        <f t="shared" si="27"/>
        <v>0xD1</v>
      </c>
      <c r="AJ16" s="133" t="str">
        <f t="shared" si="27"/>
        <v>0x3D</v>
      </c>
      <c r="AK16" s="133" t="str">
        <f t="shared" si="27"/>
        <v>0x05</v>
      </c>
      <c r="AL16" s="133" t="str">
        <f t="shared" si="27"/>
        <v>0x07</v>
      </c>
      <c r="AM16" s="134"/>
      <c r="AN16" s="134"/>
      <c r="AO16" s="134"/>
      <c r="AP16" s="134"/>
      <c r="AQ16" s="134"/>
      <c r="AR16" s="134"/>
      <c r="AS16" s="135" t="str">
        <f t="shared" si="26"/>
        <v>0xB0</v>
      </c>
    </row>
    <row r="17">
      <c r="A17" s="136" t="str">
        <f t="shared" si="2"/>
        <v>E911</v>
      </c>
      <c r="B17" s="137" t="str">
        <f>IFERROR(__xludf.DUMMYFUNCTION("REGEXREPLACE($M17, ""(?i)^8301(E000|E100|E200|E300)?"", """")"),"E911000C0F55555BF01820374894D13D050BB0")</f>
        <v>E911000C0F55555BF01820374894D13D050BB0</v>
      </c>
      <c r="C17" s="138" t="s">
        <v>47</v>
      </c>
      <c r="D17" s="138" t="s">
        <v>509</v>
      </c>
      <c r="E17" s="138" t="s">
        <v>478</v>
      </c>
      <c r="F17" s="138" t="s">
        <v>480</v>
      </c>
      <c r="G17" s="138" t="s">
        <v>115</v>
      </c>
      <c r="H17" s="139">
        <v>5.0</v>
      </c>
      <c r="I17" s="139" t="s">
        <v>116</v>
      </c>
      <c r="J17" s="138" t="s">
        <v>129</v>
      </c>
      <c r="K17" s="139" t="s">
        <v>137</v>
      </c>
      <c r="L17" s="140">
        <v>46240.0</v>
      </c>
      <c r="M17" s="141" t="s">
        <v>395</v>
      </c>
      <c r="N17" s="138" t="s">
        <v>153</v>
      </c>
      <c r="O17" s="142" t="str">
        <f t="shared" si="3"/>
        <v>0x11</v>
      </c>
      <c r="P17" s="143" t="str">
        <f t="shared" si="4"/>
        <v>0x00</v>
      </c>
      <c r="Q17" s="143" t="str">
        <f t="shared" si="5"/>
        <v>0x0C</v>
      </c>
      <c r="R17" s="144">
        <v>2.0</v>
      </c>
      <c r="S17" s="145" t="str">
        <f t="shared" si="6"/>
        <v>0x0F</v>
      </c>
      <c r="T17" s="146" t="str">
        <f t="shared" si="7"/>
        <v>0x55</v>
      </c>
      <c r="U17" s="146" t="str">
        <f t="shared" si="8"/>
        <v>0x55</v>
      </c>
      <c r="V17" s="147"/>
      <c r="W17" s="148"/>
      <c r="X17" s="147"/>
      <c r="Y17" s="147"/>
      <c r="Z17" s="147"/>
      <c r="AA17" s="149">
        <v>15.0</v>
      </c>
      <c r="AB17" s="150" t="str">
        <f t="shared" ref="AB17:AL17" si="28">"0x" &amp; MID($B17,$AA17  + 2*(COLUMN() - COLUMN($AB17)), 2)</f>
        <v>0x5B</v>
      </c>
      <c r="AC17" s="150" t="str">
        <f t="shared" si="28"/>
        <v>0xF0</v>
      </c>
      <c r="AD17" s="150" t="str">
        <f t="shared" si="28"/>
        <v>0x18</v>
      </c>
      <c r="AE17" s="150" t="str">
        <f t="shared" si="28"/>
        <v>0x20</v>
      </c>
      <c r="AF17" s="150" t="str">
        <f t="shared" si="28"/>
        <v>0x37</v>
      </c>
      <c r="AG17" s="150" t="str">
        <f t="shared" si="28"/>
        <v>0x48</v>
      </c>
      <c r="AH17" s="150" t="str">
        <f t="shared" si="28"/>
        <v>0x94</v>
      </c>
      <c r="AI17" s="150" t="str">
        <f t="shared" si="28"/>
        <v>0xD1</v>
      </c>
      <c r="AJ17" s="150" t="str">
        <f t="shared" si="28"/>
        <v>0x3D</v>
      </c>
      <c r="AK17" s="150" t="str">
        <f t="shared" si="28"/>
        <v>0x05</v>
      </c>
      <c r="AL17" s="150" t="str">
        <f t="shared" si="28"/>
        <v>0x0B</v>
      </c>
      <c r="AM17" s="151"/>
      <c r="AN17" s="151"/>
      <c r="AO17" s="151"/>
      <c r="AP17" s="151"/>
      <c r="AQ17" s="151"/>
      <c r="AR17" s="151"/>
      <c r="AS17" s="152" t="str">
        <f t="shared" si="26"/>
        <v>0xB0</v>
      </c>
    </row>
    <row r="18">
      <c r="A18" s="153" t="str">
        <f t="shared" si="2"/>
        <v>E911</v>
      </c>
      <c r="B18" s="154" t="str">
        <f>IFERROR(__xludf.DUMMYFUNCTION("REGEXREPLACE($M18, ""(?i)^8301(E000|E100|E200|E300)?"", """")"),"E91100480F43485BF0403F374894D13D051EB0")</f>
        <v>E91100480F43485BF0403F374894D13D051EB0</v>
      </c>
      <c r="C18" s="155" t="s">
        <v>30</v>
      </c>
      <c r="D18" s="155" t="s">
        <v>66</v>
      </c>
      <c r="E18" s="155" t="s">
        <v>478</v>
      </c>
      <c r="F18" s="155" t="s">
        <v>480</v>
      </c>
      <c r="G18" s="155" t="s">
        <v>115</v>
      </c>
      <c r="H18" s="156">
        <v>5.0</v>
      </c>
      <c r="I18" s="156" t="s">
        <v>116</v>
      </c>
      <c r="J18" s="155" t="s">
        <v>129</v>
      </c>
      <c r="K18" s="155" t="s">
        <v>137</v>
      </c>
      <c r="L18" s="157">
        <v>46207.0</v>
      </c>
      <c r="M18" s="158" t="s">
        <v>374</v>
      </c>
      <c r="N18" s="155" t="s">
        <v>153</v>
      </c>
      <c r="O18" s="159" t="str">
        <f t="shared" si="3"/>
        <v>0x11</v>
      </c>
      <c r="P18" s="160" t="str">
        <f t="shared" si="4"/>
        <v>0x00</v>
      </c>
      <c r="Q18" s="160" t="str">
        <f t="shared" si="5"/>
        <v>0x48</v>
      </c>
      <c r="R18" s="161">
        <v>2.0</v>
      </c>
      <c r="S18" s="162" t="str">
        <f t="shared" si="6"/>
        <v>0x0F</v>
      </c>
      <c r="T18" s="163" t="str">
        <f t="shared" si="7"/>
        <v>0x43</v>
      </c>
      <c r="U18" s="163" t="str">
        <f t="shared" si="8"/>
        <v>0x48</v>
      </c>
      <c r="V18" s="164"/>
      <c r="W18" s="165"/>
      <c r="X18" s="164"/>
      <c r="Y18" s="164"/>
      <c r="Z18" s="164"/>
      <c r="AA18" s="166">
        <v>15.0</v>
      </c>
      <c r="AB18" s="160" t="str">
        <f t="shared" ref="AB18:AL18" si="29">"0x" &amp; MID($B18,$AA18  + 2*(COLUMN() - COLUMN($AB18)), 2)</f>
        <v>0x5B</v>
      </c>
      <c r="AC18" s="160" t="str">
        <f t="shared" si="29"/>
        <v>0xF0</v>
      </c>
      <c r="AD18" s="160" t="str">
        <f t="shared" si="29"/>
        <v>0x40</v>
      </c>
      <c r="AE18" s="160" t="str">
        <f t="shared" si="29"/>
        <v>0x3F</v>
      </c>
      <c r="AF18" s="160" t="str">
        <f t="shared" si="29"/>
        <v>0x37</v>
      </c>
      <c r="AG18" s="160" t="str">
        <f t="shared" si="29"/>
        <v>0x48</v>
      </c>
      <c r="AH18" s="160" t="str">
        <f t="shared" si="29"/>
        <v>0x94</v>
      </c>
      <c r="AI18" s="160" t="str">
        <f t="shared" si="29"/>
        <v>0xD1</v>
      </c>
      <c r="AJ18" s="160" t="str">
        <f t="shared" si="29"/>
        <v>0x3D</v>
      </c>
      <c r="AK18" s="160" t="str">
        <f t="shared" si="29"/>
        <v>0x05</v>
      </c>
      <c r="AL18" s="160" t="str">
        <f t="shared" si="29"/>
        <v>0x1E</v>
      </c>
      <c r="AM18" s="160"/>
      <c r="AN18" s="160"/>
      <c r="AO18" s="160"/>
      <c r="AP18" s="160"/>
      <c r="AQ18" s="160"/>
      <c r="AR18" s="160"/>
      <c r="AS18" s="167" t="str">
        <f t="shared" si="26"/>
        <v>0xB0</v>
      </c>
    </row>
    <row r="19">
      <c r="A19" s="111" t="str">
        <f t="shared" si="2"/>
        <v>E911</v>
      </c>
      <c r="B19" s="112" t="str">
        <f>IFERROR(__xludf.DUMMYFUNCTION("REGEXREPLACE($M19, ""(?i)^8301(E000|E100|E200|E300)?"", """")"),"E91100660F44445BF04040374894D13D051EB0")</f>
        <v>E91100660F44445BF04040374894D13D051EB0</v>
      </c>
      <c r="C19" s="113" t="s">
        <v>30</v>
      </c>
      <c r="D19" s="113" t="s">
        <v>66</v>
      </c>
      <c r="E19" s="113" t="s">
        <v>478</v>
      </c>
      <c r="F19" s="113" t="s">
        <v>480</v>
      </c>
      <c r="G19" s="113" t="s">
        <v>115</v>
      </c>
      <c r="H19" s="168">
        <v>5.0</v>
      </c>
      <c r="I19" s="168" t="s">
        <v>116</v>
      </c>
      <c r="J19" s="113" t="s">
        <v>217</v>
      </c>
      <c r="K19" s="113" t="s">
        <v>218</v>
      </c>
      <c r="L19" s="114">
        <v>46244.0</v>
      </c>
      <c r="M19" s="115" t="s">
        <v>446</v>
      </c>
      <c r="N19" s="113" t="s">
        <v>153</v>
      </c>
      <c r="O19" s="116" t="str">
        <f t="shared" si="3"/>
        <v>0x11</v>
      </c>
      <c r="P19" s="117" t="str">
        <f t="shared" si="4"/>
        <v>0x00</v>
      </c>
      <c r="Q19" s="117" t="str">
        <f t="shared" si="5"/>
        <v>0x66</v>
      </c>
      <c r="R19" s="118">
        <v>2.0</v>
      </c>
      <c r="S19" s="119" t="str">
        <f t="shared" si="6"/>
        <v>0x0F</v>
      </c>
      <c r="T19" s="120" t="str">
        <f t="shared" si="7"/>
        <v>0x44</v>
      </c>
      <c r="U19" s="120" t="str">
        <f t="shared" si="8"/>
        <v>0x44</v>
      </c>
      <c r="V19" s="121"/>
      <c r="W19" s="122"/>
      <c r="X19" s="121"/>
      <c r="Y19" s="121"/>
      <c r="Z19" s="121"/>
      <c r="AA19" s="123">
        <v>15.0</v>
      </c>
      <c r="AB19" s="117" t="str">
        <f t="shared" ref="AB19:AL19" si="30">"0x" &amp; MID($B19,$AA19  + 2*(COLUMN() - COLUMN($AB19)), 2)</f>
        <v>0x5B</v>
      </c>
      <c r="AC19" s="117" t="str">
        <f t="shared" si="30"/>
        <v>0xF0</v>
      </c>
      <c r="AD19" s="117" t="str">
        <f t="shared" si="30"/>
        <v>0x40</v>
      </c>
      <c r="AE19" s="117" t="str">
        <f t="shared" si="30"/>
        <v>0x40</v>
      </c>
      <c r="AF19" s="117" t="str">
        <f t="shared" si="30"/>
        <v>0x37</v>
      </c>
      <c r="AG19" s="117" t="str">
        <f t="shared" si="30"/>
        <v>0x48</v>
      </c>
      <c r="AH19" s="117" t="str">
        <f t="shared" si="30"/>
        <v>0x94</v>
      </c>
      <c r="AI19" s="117" t="str">
        <f t="shared" si="30"/>
        <v>0xD1</v>
      </c>
      <c r="AJ19" s="117" t="str">
        <f t="shared" si="30"/>
        <v>0x3D</v>
      </c>
      <c r="AK19" s="117" t="str">
        <f t="shared" si="30"/>
        <v>0x05</v>
      </c>
      <c r="AL19" s="117" t="str">
        <f t="shared" si="30"/>
        <v>0x1E</v>
      </c>
      <c r="AM19" s="117"/>
      <c r="AN19" s="117"/>
      <c r="AO19" s="117"/>
      <c r="AP19" s="117"/>
      <c r="AQ19" s="117"/>
      <c r="AR19" s="117"/>
      <c r="AS19" s="126" t="str">
        <f t="shared" si="26"/>
        <v>0xB0</v>
      </c>
    </row>
  </sheetData>
  <autoFilter ref="$A$1:$AS$19">
    <sortState ref="A1:AS19">
      <sortCondition ref="B1:B19"/>
      <sortCondition ref="C1:C19"/>
      <sortCondition ref="AD1:AD19"/>
      <sortCondition ref="AE1:AE19"/>
      <sortCondition ref="AI1:AI19"/>
      <sortCondition ref="AJ1:AJ19"/>
      <sortCondition ref="AK1:AK19"/>
      <sortCondition ref="AL1:AL19"/>
      <sortCondition ref="AB1:AB19"/>
      <sortCondition ref="AC1:AC19"/>
      <sortCondition ref="AF1:AF19"/>
      <sortCondition ref="AG1:AG19"/>
      <sortCondition ref="AH1:AH19"/>
      <sortCondition ref="H1:H19"/>
      <sortCondition ref="S1:S19"/>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hidden="1" min="5" max="5" width="10.5"/>
    <col customWidth="1" hidden="1" min="6" max="6" width="14.75"/>
    <col customWidth="1" hidden="1" min="7" max="7" width="9.5"/>
    <col customWidth="1" hidden="1" min="8" max="8" width="53.0"/>
    <col customWidth="1" hidden="1" min="9" max="9" width="12.63"/>
    <col customWidth="1" min="10" max="10" width="9.0"/>
    <col customWidth="1" min="11" max="11" width="5.88"/>
    <col customWidth="1" min="12" max="12" width="5.75"/>
    <col customWidth="1" min="13" max="13" width="4.38"/>
    <col customWidth="1" min="14" max="14" width="7.0"/>
    <col customWidth="1" min="15" max="16" width="5.63"/>
    <col customWidth="1" hidden="1" min="17" max="17" width="5.63"/>
    <col customWidth="1" hidden="1" min="18" max="18" width="7.0"/>
    <col customWidth="1" hidden="1" min="19" max="21" width="5.63"/>
    <col customWidth="1" min="22" max="22" width="7.25"/>
    <col customWidth="1" min="23" max="33" width="6.38"/>
    <col customWidth="1" hidden="1" min="34" max="34" width="6.25"/>
    <col customWidth="1" hidden="1" min="35" max="39" width="6.38"/>
    <col customWidth="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c r="A2" s="33" t="str">
        <f t="shared" ref="A2:A5" si="2">LEFT($B2, 4)</f>
        <v>E911</v>
      </c>
      <c r="B2" s="34" t="str">
        <f>IFERROR(__xludf.DUMMYFUNCTION("REGEXREPLACE($H2, ""(?i)^8301(E000|E100|E200|E300)?"", """")"),"E91100010F48485BF01834374894D13D050AB0")</f>
        <v>E91100010F48485BF01834374894D13D050AB0</v>
      </c>
      <c r="C2" s="36" t="s">
        <v>47</v>
      </c>
      <c r="D2" s="35"/>
      <c r="E2" s="36" t="s">
        <v>106</v>
      </c>
      <c r="F2" s="36" t="s">
        <v>175</v>
      </c>
      <c r="G2" s="37">
        <v>46220.0</v>
      </c>
      <c r="H2" s="38" t="s">
        <v>354</v>
      </c>
      <c r="I2" s="36" t="s">
        <v>153</v>
      </c>
      <c r="J2" s="39" t="str">
        <f t="shared" ref="J2:J5" si="3">"0x"&amp;mid($B2,3,2)</f>
        <v>0x11</v>
      </c>
      <c r="K2" s="40" t="str">
        <f t="shared" ref="K2:K5" si="4">"0x"&amp;MID($B2,5,2)</f>
        <v>0x00</v>
      </c>
      <c r="L2" s="40" t="str">
        <f t="shared" ref="L2:L5" si="5">"0x"&amp;MID($B2,7,2)</f>
        <v>0x01</v>
      </c>
      <c r="M2" s="42">
        <v>2.0</v>
      </c>
      <c r="N2" s="42" t="str">
        <f t="shared" ref="N2:N5" si="6">"0x"&amp;MID($B2,9,2)</f>
        <v>0x0F</v>
      </c>
      <c r="O2" s="48" t="str">
        <f t="shared" ref="O2:O5" si="7">"0x"&amp;MID($B2,11,2)</f>
        <v>0x48</v>
      </c>
      <c r="P2" s="48" t="str">
        <f t="shared" ref="P2:P5" si="8">"0x"&amp;MID($B2,13,2)</f>
        <v>0x48</v>
      </c>
      <c r="Q2" s="48"/>
      <c r="R2" s="42"/>
      <c r="S2" s="48"/>
      <c r="T2" s="48"/>
      <c r="U2" s="48"/>
      <c r="V2" s="40">
        <v>15.0</v>
      </c>
      <c r="W2" s="40" t="str">
        <f t="shared" ref="W2:AG2" si="1">"0x" &amp; MID($B2,$V2  + 2*(COLUMN() - COLUMN($W2)), 2)</f>
        <v>0x5B</v>
      </c>
      <c r="X2" s="40" t="str">
        <f t="shared" si="1"/>
        <v>0xF0</v>
      </c>
      <c r="Y2" s="40" t="str">
        <f t="shared" si="1"/>
        <v>0x18</v>
      </c>
      <c r="Z2" s="40" t="str">
        <f t="shared" si="1"/>
        <v>0x34</v>
      </c>
      <c r="AA2" s="40" t="str">
        <f t="shared" si="1"/>
        <v>0x37</v>
      </c>
      <c r="AB2" s="40" t="str">
        <f t="shared" si="1"/>
        <v>0x48</v>
      </c>
      <c r="AC2" s="40" t="str">
        <f t="shared" si="1"/>
        <v>0x94</v>
      </c>
      <c r="AD2" s="40" t="str">
        <f t="shared" si="1"/>
        <v>0xD1</v>
      </c>
      <c r="AE2" s="40" t="str">
        <f t="shared" si="1"/>
        <v>0x3D</v>
      </c>
      <c r="AF2" s="40" t="str">
        <f t="shared" si="1"/>
        <v>0x05</v>
      </c>
      <c r="AG2" s="40" t="str">
        <f t="shared" si="1"/>
        <v>0x0A</v>
      </c>
      <c r="AH2" s="40"/>
      <c r="AI2" s="40"/>
      <c r="AJ2" s="40"/>
      <c r="AK2" s="40"/>
      <c r="AL2" s="40"/>
      <c r="AM2" s="40"/>
      <c r="AN2" s="75" t="str">
        <f t="shared" ref="AN2:AN5" si="10">"0x"&amp;MID($B2,37,2)</f>
        <v>0xB0</v>
      </c>
    </row>
    <row r="3">
      <c r="A3" s="51" t="str">
        <f t="shared" si="2"/>
        <v>E911</v>
      </c>
      <c r="B3" s="52" t="str">
        <f>IFERROR(__xludf.DUMMYFUNCTION("REGEXREPLACE($H3, ""(?i)^8301(E000|E100|E200|E300)?"", """")"),"E91100010F54535BF04040374894D13D0905B0")</f>
        <v>E91100010F54535BF04040374894D13D0905B0</v>
      </c>
      <c r="C3" s="65" t="s">
        <v>47</v>
      </c>
      <c r="D3" s="65"/>
      <c r="E3" s="65" t="s">
        <v>217</v>
      </c>
      <c r="F3" s="65" t="s">
        <v>218</v>
      </c>
      <c r="G3" s="67">
        <v>46244.0</v>
      </c>
      <c r="H3" s="68" t="s">
        <v>463</v>
      </c>
      <c r="I3" s="65" t="s">
        <v>153</v>
      </c>
      <c r="J3" s="57" t="str">
        <f t="shared" si="3"/>
        <v>0x11</v>
      </c>
      <c r="K3" s="58" t="str">
        <f t="shared" si="4"/>
        <v>0x00</v>
      </c>
      <c r="L3" s="58" t="str">
        <f t="shared" si="5"/>
        <v>0x01</v>
      </c>
      <c r="M3" s="82">
        <v>2.0</v>
      </c>
      <c r="N3" s="83" t="str">
        <f t="shared" si="6"/>
        <v>0x0F</v>
      </c>
      <c r="O3" s="84" t="str">
        <f t="shared" si="7"/>
        <v>0x54</v>
      </c>
      <c r="P3" s="84" t="str">
        <f t="shared" si="8"/>
        <v>0x53</v>
      </c>
      <c r="Q3" s="85"/>
      <c r="R3" s="86"/>
      <c r="S3" s="85"/>
      <c r="T3" s="85"/>
      <c r="U3" s="85"/>
      <c r="V3" s="87">
        <v>15.0</v>
      </c>
      <c r="W3" s="62" t="str">
        <f t="shared" ref="W3:AG3" si="9">"0x" &amp; MID($B3,$V3  + 2*(COLUMN() - COLUMN($W3)), 2)</f>
        <v>0x5B</v>
      </c>
      <c r="X3" s="62" t="str">
        <f t="shared" si="9"/>
        <v>0xF0</v>
      </c>
      <c r="Y3" s="62" t="str">
        <f t="shared" si="9"/>
        <v>0x40</v>
      </c>
      <c r="Z3" s="62" t="str">
        <f t="shared" si="9"/>
        <v>0x40</v>
      </c>
      <c r="AA3" s="62" t="str">
        <f t="shared" si="9"/>
        <v>0x37</v>
      </c>
      <c r="AB3" s="62" t="str">
        <f t="shared" si="9"/>
        <v>0x48</v>
      </c>
      <c r="AC3" s="62" t="str">
        <f t="shared" si="9"/>
        <v>0x94</v>
      </c>
      <c r="AD3" s="62" t="str">
        <f t="shared" si="9"/>
        <v>0xD1</v>
      </c>
      <c r="AE3" s="62" t="str">
        <f t="shared" si="9"/>
        <v>0x3D</v>
      </c>
      <c r="AF3" s="62" t="str">
        <f t="shared" si="9"/>
        <v>0x09</v>
      </c>
      <c r="AG3" s="62" t="str">
        <f t="shared" si="9"/>
        <v>0x05</v>
      </c>
      <c r="AH3" s="94"/>
      <c r="AI3" s="94"/>
      <c r="AJ3" s="94"/>
      <c r="AK3" s="94"/>
      <c r="AL3" s="94"/>
      <c r="AM3" s="94"/>
      <c r="AN3" s="74" t="str">
        <f t="shared" si="10"/>
        <v>0xB0</v>
      </c>
    </row>
    <row r="4">
      <c r="A4" s="33" t="str">
        <f t="shared" si="2"/>
        <v>E911</v>
      </c>
      <c r="B4" s="34" t="str">
        <f>IFERROR(__xludf.DUMMYFUNCTION("REGEXREPLACE($H4, ""(?i)^8301(E000|E100|E200|E300)?"", """")"),"E91100020F4E4D5BF03134374894D13D0507B0")</f>
        <v>E91100020F4E4D5BF03134374894D13D0507B0</v>
      </c>
      <c r="C4" s="36" t="s">
        <v>47</v>
      </c>
      <c r="D4" s="35"/>
      <c r="E4" s="36" t="s">
        <v>106</v>
      </c>
      <c r="F4" s="36" t="s">
        <v>175</v>
      </c>
      <c r="G4" s="37">
        <v>46220.0</v>
      </c>
      <c r="H4" s="38" t="s">
        <v>358</v>
      </c>
      <c r="I4" s="36" t="s">
        <v>153</v>
      </c>
      <c r="J4" s="39" t="str">
        <f t="shared" si="3"/>
        <v>0x11</v>
      </c>
      <c r="K4" s="40" t="str">
        <f t="shared" si="4"/>
        <v>0x00</v>
      </c>
      <c r="L4" s="40" t="str">
        <f t="shared" si="5"/>
        <v>0x02</v>
      </c>
      <c r="M4" s="77">
        <v>2.0</v>
      </c>
      <c r="N4" s="78" t="str">
        <f t="shared" si="6"/>
        <v>0x0F</v>
      </c>
      <c r="O4" s="72" t="str">
        <f t="shared" si="7"/>
        <v>0x4E</v>
      </c>
      <c r="P4" s="72" t="str">
        <f t="shared" si="8"/>
        <v>0x4D</v>
      </c>
      <c r="Q4" s="79"/>
      <c r="R4" s="80"/>
      <c r="S4" s="79"/>
      <c r="T4" s="79"/>
      <c r="U4" s="79"/>
      <c r="V4" s="81">
        <v>15.0</v>
      </c>
      <c r="W4" s="47" t="str">
        <f t="shared" ref="W4:AG4" si="11">"0x" &amp; MID($B4,$V4  + 2*(COLUMN() - COLUMN($W4)), 2)</f>
        <v>0x5B</v>
      </c>
      <c r="X4" s="47" t="str">
        <f t="shared" si="11"/>
        <v>0xF0</v>
      </c>
      <c r="Y4" s="47" t="str">
        <f t="shared" si="11"/>
        <v>0x31</v>
      </c>
      <c r="Z4" s="47" t="str">
        <f t="shared" si="11"/>
        <v>0x34</v>
      </c>
      <c r="AA4" s="47" t="str">
        <f t="shared" si="11"/>
        <v>0x37</v>
      </c>
      <c r="AB4" s="47" t="str">
        <f t="shared" si="11"/>
        <v>0x48</v>
      </c>
      <c r="AC4" s="47" t="str">
        <f t="shared" si="11"/>
        <v>0x94</v>
      </c>
      <c r="AD4" s="47" t="str">
        <f t="shared" si="11"/>
        <v>0xD1</v>
      </c>
      <c r="AE4" s="47" t="str">
        <f t="shared" si="11"/>
        <v>0x3D</v>
      </c>
      <c r="AF4" s="47" t="str">
        <f t="shared" si="11"/>
        <v>0x05</v>
      </c>
      <c r="AG4" s="47" t="str">
        <f t="shared" si="11"/>
        <v>0x07</v>
      </c>
      <c r="AH4" s="93"/>
      <c r="AI4" s="93"/>
      <c r="AJ4" s="93"/>
      <c r="AK4" s="93"/>
      <c r="AL4" s="93"/>
      <c r="AM4" s="93"/>
      <c r="AN4" s="64" t="str">
        <f t="shared" si="10"/>
        <v>0xB0</v>
      </c>
    </row>
    <row r="5">
      <c r="A5" s="51" t="str">
        <f t="shared" si="2"/>
        <v>E911</v>
      </c>
      <c r="B5" s="52" t="str">
        <f>IFERROR(__xludf.DUMMYFUNCTION("REGEXREPLACE($H5, ""(?i)^8301(E000|E100|E200|E300)?"", """")"),"E911000C0F55555BF01820374894D13D050BB0")</f>
        <v>E911000C0F55555BF01820374894D13D050BB0</v>
      </c>
      <c r="C5" s="65" t="s">
        <v>47</v>
      </c>
      <c r="D5" s="65" t="s">
        <v>508</v>
      </c>
      <c r="E5" s="65" t="s">
        <v>129</v>
      </c>
      <c r="F5" s="89" t="s">
        <v>137</v>
      </c>
      <c r="G5" s="67">
        <v>46240.0</v>
      </c>
      <c r="H5" s="56" t="s">
        <v>395</v>
      </c>
      <c r="I5" s="65" t="s">
        <v>153</v>
      </c>
      <c r="J5" s="57" t="str">
        <f t="shared" si="3"/>
        <v>0x11</v>
      </c>
      <c r="K5" s="58" t="str">
        <f t="shared" si="4"/>
        <v>0x00</v>
      </c>
      <c r="L5" s="58" t="str">
        <f t="shared" si="5"/>
        <v>0x0C</v>
      </c>
      <c r="M5" s="82">
        <v>2.0</v>
      </c>
      <c r="N5" s="83" t="str">
        <f t="shared" si="6"/>
        <v>0x0F</v>
      </c>
      <c r="O5" s="84" t="str">
        <f t="shared" si="7"/>
        <v>0x55</v>
      </c>
      <c r="P5" s="84" t="str">
        <f t="shared" si="8"/>
        <v>0x55</v>
      </c>
      <c r="Q5" s="85"/>
      <c r="R5" s="86"/>
      <c r="S5" s="85"/>
      <c r="T5" s="85"/>
      <c r="U5" s="85"/>
      <c r="V5" s="87">
        <v>15.0</v>
      </c>
      <c r="W5" s="62" t="str">
        <f t="shared" ref="W5:AG5" si="12">"0x" &amp; MID($B5,$V5  + 2*(COLUMN() - COLUMN($W5)), 2)</f>
        <v>0x5B</v>
      </c>
      <c r="X5" s="62" t="str">
        <f t="shared" si="12"/>
        <v>0xF0</v>
      </c>
      <c r="Y5" s="62" t="str">
        <f t="shared" si="12"/>
        <v>0x18</v>
      </c>
      <c r="Z5" s="62" t="str">
        <f t="shared" si="12"/>
        <v>0x20</v>
      </c>
      <c r="AA5" s="62" t="str">
        <f t="shared" si="12"/>
        <v>0x37</v>
      </c>
      <c r="AB5" s="62" t="str">
        <f t="shared" si="12"/>
        <v>0x48</v>
      </c>
      <c r="AC5" s="62" t="str">
        <f t="shared" si="12"/>
        <v>0x94</v>
      </c>
      <c r="AD5" s="62" t="str">
        <f t="shared" si="12"/>
        <v>0xD1</v>
      </c>
      <c r="AE5" s="62" t="str">
        <f t="shared" si="12"/>
        <v>0x3D</v>
      </c>
      <c r="AF5" s="62" t="str">
        <f t="shared" si="12"/>
        <v>0x05</v>
      </c>
      <c r="AG5" s="62" t="str">
        <f t="shared" si="12"/>
        <v>0x0B</v>
      </c>
      <c r="AH5" s="94"/>
      <c r="AI5" s="94"/>
      <c r="AJ5" s="94"/>
      <c r="AK5" s="94"/>
      <c r="AL5" s="94"/>
      <c r="AM5" s="94"/>
      <c r="AN5" s="74" t="str">
        <f t="shared" si="10"/>
        <v>0xB0</v>
      </c>
    </row>
  </sheetData>
  <autoFilter ref="$A$1:$AN$5">
    <sortState ref="A1:AN5">
      <sortCondition ref="B1:B5"/>
      <sortCondition ref="C1:C5"/>
      <sortCondition ref="N1:N5"/>
      <sortCondition ref="W1:W5"/>
    </sortState>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hidden="1" min="5" max="5" width="10.5"/>
    <col customWidth="1" hidden="1" min="6" max="6" width="14.75"/>
    <col customWidth="1" hidden="1" min="7" max="7" width="9.5"/>
    <col customWidth="1" hidden="1" min="8" max="8" width="53.0"/>
    <col customWidth="1" hidden="1" min="9" max="9" width="12.63"/>
    <col customWidth="1" min="10" max="10" width="9.0"/>
    <col customWidth="1" min="11" max="11" width="5.88"/>
    <col customWidth="1" min="12" max="12" width="5.75"/>
    <col customWidth="1" min="13" max="13" width="4.38"/>
    <col customWidth="1" min="14" max="14" width="7.0"/>
    <col customWidth="1" min="15" max="17" width="5.63"/>
    <col customWidth="1" hidden="1" min="18" max="18" width="7.0"/>
    <col customWidth="1" min="19" max="20" width="5.63"/>
    <col customWidth="1" hidden="1" min="21" max="21" width="5.63"/>
    <col customWidth="1" min="22" max="22" width="7.25"/>
    <col customWidth="1" min="23" max="32" width="6.38"/>
    <col customWidth="1" hidden="1" min="33" max="33" width="6.38"/>
    <col customWidth="1" hidden="1" min="34" max="34" width="6.25"/>
    <col customWidth="1" hidden="1" min="35" max="39" width="6.38"/>
    <col customWidth="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c r="A2" s="33" t="str">
        <f t="shared" ref="A2:A9" si="2">LEFT($B2, 4)</f>
        <v>E90F</v>
      </c>
      <c r="B2" s="34" t="str">
        <f>IFERROR(__xludf.DUMMYFUNCTION("REGEXREPLACE($H2, ""(?i)^8301(E000|E100|E200|E300)?"", """")"),"E90F00480EEF7AEC5C0D2814281448ABB0")</f>
        <v>E90F00480EEF7AEC5C0D2814281448ABB0</v>
      </c>
      <c r="C2" s="36" t="s">
        <v>18</v>
      </c>
      <c r="D2" s="36" t="s">
        <v>510</v>
      </c>
      <c r="E2" s="36" t="s">
        <v>217</v>
      </c>
      <c r="F2" s="36" t="s">
        <v>218</v>
      </c>
      <c r="G2" s="37">
        <v>46244.0</v>
      </c>
      <c r="H2" s="38" t="s">
        <v>444</v>
      </c>
      <c r="I2" s="36"/>
      <c r="J2" s="39" t="str">
        <f t="shared" ref="J2:J9" si="3">"0x"&amp;mid($B2,3,2)</f>
        <v>0x0F</v>
      </c>
      <c r="K2" s="40" t="str">
        <f t="shared" ref="K2:K9" si="4">"0x"&amp;MID($B2,5,2)</f>
        <v>0x00</v>
      </c>
      <c r="L2" s="40" t="str">
        <f t="shared" ref="L2:L9" si="5">"0x"&amp;MID($B2,7,2)</f>
        <v>0x48</v>
      </c>
      <c r="M2" s="42">
        <v>1.0</v>
      </c>
      <c r="N2" s="42" t="str">
        <f t="shared" ref="N2:N9" si="6">"0x"&amp;MID($B2,9,2)</f>
        <v>0x0E</v>
      </c>
      <c r="O2" s="48" t="str">
        <f t="shared" ref="O2:O9" si="7">"0x"&amp;MID($B2,11,2)</f>
        <v>0xEF</v>
      </c>
      <c r="P2" s="48"/>
      <c r="Q2" s="48"/>
      <c r="R2" s="42"/>
      <c r="S2" s="48"/>
      <c r="T2" s="48"/>
      <c r="U2" s="48"/>
      <c r="V2" s="40">
        <v>13.0</v>
      </c>
      <c r="W2" s="40" t="str">
        <f t="shared" ref="W2:AF2" si="1">"0x" &amp; MID($B2,$V2  + 2*(COLUMN() - COLUMN($W2)), 2)</f>
        <v>0x7A</v>
      </c>
      <c r="X2" s="40" t="str">
        <f t="shared" si="1"/>
        <v>0xEC</v>
      </c>
      <c r="Y2" s="40" t="str">
        <f t="shared" si="1"/>
        <v>0x5C</v>
      </c>
      <c r="Z2" s="40" t="str">
        <f t="shared" si="1"/>
        <v>0x0D</v>
      </c>
      <c r="AA2" s="40" t="str">
        <f t="shared" si="1"/>
        <v>0x28</v>
      </c>
      <c r="AB2" s="40" t="str">
        <f t="shared" si="1"/>
        <v>0x14</v>
      </c>
      <c r="AC2" s="40" t="str">
        <f t="shared" si="1"/>
        <v>0x28</v>
      </c>
      <c r="AD2" s="40" t="str">
        <f t="shared" si="1"/>
        <v>0x14</v>
      </c>
      <c r="AE2" s="40" t="str">
        <f t="shared" si="1"/>
        <v>0x48</v>
      </c>
      <c r="AF2" s="40" t="str">
        <f t="shared" si="1"/>
        <v>0xAB</v>
      </c>
      <c r="AG2" s="40"/>
      <c r="AH2" s="40"/>
      <c r="AI2" s="40"/>
      <c r="AJ2" s="40"/>
      <c r="AK2" s="40"/>
      <c r="AL2" s="40"/>
      <c r="AM2" s="40"/>
      <c r="AN2" s="75" t="str">
        <f t="shared" ref="AN2:AN5" si="9">"0x"&amp;MID($B2,33,2)</f>
        <v>0xB0</v>
      </c>
    </row>
    <row r="3">
      <c r="A3" s="51" t="str">
        <f t="shared" si="2"/>
        <v>E90F</v>
      </c>
      <c r="B3" s="52" t="str">
        <f>IFERROR(__xludf.DUMMYFUNCTION("REGEXREPLACE($H3, ""(?i)^8301(E000|E100|E200|E300)?"", """")"),"E90F000F0EEF7AEC5C022814281448ABB0")</f>
        <v>E90F000F0EEF7AEC5C022814281448ABB0</v>
      </c>
      <c r="C3" s="65" t="s">
        <v>18</v>
      </c>
      <c r="D3" s="65" t="s">
        <v>512</v>
      </c>
      <c r="E3" s="65" t="s">
        <v>75</v>
      </c>
      <c r="F3" s="65" t="s">
        <v>120</v>
      </c>
      <c r="G3" s="67">
        <v>46219.0</v>
      </c>
      <c r="H3" s="68" t="s">
        <v>327</v>
      </c>
      <c r="I3" s="65"/>
      <c r="J3" s="57" t="str">
        <f t="shared" si="3"/>
        <v>0x0F</v>
      </c>
      <c r="K3" s="58" t="str">
        <f t="shared" si="4"/>
        <v>0x00</v>
      </c>
      <c r="L3" s="58" t="str">
        <f t="shared" si="5"/>
        <v>0x0F</v>
      </c>
      <c r="M3" s="59">
        <v>1.0</v>
      </c>
      <c r="N3" s="59" t="str">
        <f t="shared" si="6"/>
        <v>0x0E</v>
      </c>
      <c r="O3" s="71" t="str">
        <f t="shared" si="7"/>
        <v>0xEF</v>
      </c>
      <c r="P3" s="71"/>
      <c r="Q3" s="71"/>
      <c r="R3" s="59"/>
      <c r="S3" s="71"/>
      <c r="T3" s="71"/>
      <c r="U3" s="71"/>
      <c r="V3" s="58">
        <v>13.0</v>
      </c>
      <c r="W3" s="58" t="str">
        <f t="shared" ref="W3:AF3" si="8">"0x" &amp; MID($B3,$V3  + 2*(COLUMN() - COLUMN($W3)), 2)</f>
        <v>0x7A</v>
      </c>
      <c r="X3" s="58" t="str">
        <f t="shared" si="8"/>
        <v>0xEC</v>
      </c>
      <c r="Y3" s="58" t="str">
        <f t="shared" si="8"/>
        <v>0x5C</v>
      </c>
      <c r="Z3" s="58" t="str">
        <f t="shared" si="8"/>
        <v>0x02</v>
      </c>
      <c r="AA3" s="58" t="str">
        <f t="shared" si="8"/>
        <v>0x28</v>
      </c>
      <c r="AB3" s="58" t="str">
        <f t="shared" si="8"/>
        <v>0x14</v>
      </c>
      <c r="AC3" s="58" t="str">
        <f t="shared" si="8"/>
        <v>0x28</v>
      </c>
      <c r="AD3" s="58" t="str">
        <f t="shared" si="8"/>
        <v>0x14</v>
      </c>
      <c r="AE3" s="58" t="str">
        <f t="shared" si="8"/>
        <v>0x48</v>
      </c>
      <c r="AF3" s="58" t="str">
        <f t="shared" si="8"/>
        <v>0xAB</v>
      </c>
      <c r="AG3" s="58"/>
      <c r="AH3" s="58"/>
      <c r="AI3" s="58"/>
      <c r="AJ3" s="58"/>
      <c r="AK3" s="58"/>
      <c r="AL3" s="58"/>
      <c r="AM3" s="58"/>
      <c r="AN3" s="88" t="str">
        <f t="shared" si="9"/>
        <v>0xB0</v>
      </c>
    </row>
    <row r="4">
      <c r="A4" s="33" t="str">
        <f t="shared" si="2"/>
        <v>E90F</v>
      </c>
      <c r="B4" s="34" t="str">
        <f>IFERROR(__xludf.DUMMYFUNCTION("REGEXREPLACE($H4, ""(?i)^8301(E000|E100|E200|E300)?"", """")"),"E90F00110EF17AEC5C012814281448ABB0")</f>
        <v>E90F00110EF17AEC5C012814281448ABB0</v>
      </c>
      <c r="C4" s="36" t="s">
        <v>18</v>
      </c>
      <c r="D4" s="36" t="s">
        <v>514</v>
      </c>
      <c r="E4" s="36" t="s">
        <v>75</v>
      </c>
      <c r="F4" s="36" t="s">
        <v>120</v>
      </c>
      <c r="G4" s="37">
        <v>46219.0</v>
      </c>
      <c r="H4" s="38" t="s">
        <v>328</v>
      </c>
      <c r="I4" s="36"/>
      <c r="J4" s="39" t="str">
        <f t="shared" si="3"/>
        <v>0x0F</v>
      </c>
      <c r="K4" s="40" t="str">
        <f t="shared" si="4"/>
        <v>0x00</v>
      </c>
      <c r="L4" s="40" t="str">
        <f t="shared" si="5"/>
        <v>0x11</v>
      </c>
      <c r="M4" s="42">
        <v>1.0</v>
      </c>
      <c r="N4" s="42" t="str">
        <f t="shared" si="6"/>
        <v>0x0E</v>
      </c>
      <c r="O4" s="48" t="str">
        <f t="shared" si="7"/>
        <v>0xF1</v>
      </c>
      <c r="P4" s="48"/>
      <c r="Q4" s="48"/>
      <c r="R4" s="42"/>
      <c r="S4" s="48"/>
      <c r="T4" s="48"/>
      <c r="U4" s="48"/>
      <c r="V4" s="40">
        <v>13.0</v>
      </c>
      <c r="W4" s="40" t="str">
        <f t="shared" ref="W4:AF4" si="10">"0x" &amp; MID($B4,$V4  + 2*(COLUMN() - COLUMN($W4)), 2)</f>
        <v>0x7A</v>
      </c>
      <c r="X4" s="40" t="str">
        <f t="shared" si="10"/>
        <v>0xEC</v>
      </c>
      <c r="Y4" s="40" t="str">
        <f t="shared" si="10"/>
        <v>0x5C</v>
      </c>
      <c r="Z4" s="40" t="str">
        <f t="shared" si="10"/>
        <v>0x01</v>
      </c>
      <c r="AA4" s="40" t="str">
        <f t="shared" si="10"/>
        <v>0x28</v>
      </c>
      <c r="AB4" s="40" t="str">
        <f t="shared" si="10"/>
        <v>0x14</v>
      </c>
      <c r="AC4" s="40" t="str">
        <f t="shared" si="10"/>
        <v>0x28</v>
      </c>
      <c r="AD4" s="40" t="str">
        <f t="shared" si="10"/>
        <v>0x14</v>
      </c>
      <c r="AE4" s="40" t="str">
        <f t="shared" si="10"/>
        <v>0x48</v>
      </c>
      <c r="AF4" s="40" t="str">
        <f t="shared" si="10"/>
        <v>0xAB</v>
      </c>
      <c r="AG4" s="40"/>
      <c r="AH4" s="40"/>
      <c r="AI4" s="40"/>
      <c r="AJ4" s="40"/>
      <c r="AK4" s="40"/>
      <c r="AL4" s="40"/>
      <c r="AM4" s="40"/>
      <c r="AN4" s="75" t="str">
        <f t="shared" si="9"/>
        <v>0xB0</v>
      </c>
    </row>
    <row r="5">
      <c r="A5" s="51" t="str">
        <f t="shared" si="2"/>
        <v>E90F</v>
      </c>
      <c r="B5" s="52" t="str">
        <f>IFERROR(__xludf.DUMMYFUNCTION("REGEXREPLACE($H5, ""(?i)^8301(E000|E100|E200|E300)?"", """")"),"E90F004F0F4F41580F488DD246020F55B0")</f>
        <v>E90F004F0F4F41580F488DD246020F55B0</v>
      </c>
      <c r="C5" s="65" t="s">
        <v>18</v>
      </c>
      <c r="D5" s="65" t="s">
        <v>513</v>
      </c>
      <c r="E5" s="65" t="s">
        <v>217</v>
      </c>
      <c r="F5" s="65" t="s">
        <v>218</v>
      </c>
      <c r="G5" s="67">
        <v>46244.0</v>
      </c>
      <c r="H5" s="68" t="s">
        <v>456</v>
      </c>
      <c r="I5" s="65"/>
      <c r="J5" s="57" t="str">
        <f t="shared" si="3"/>
        <v>0x0F</v>
      </c>
      <c r="K5" s="58" t="str">
        <f t="shared" si="4"/>
        <v>0x00</v>
      </c>
      <c r="L5" s="58" t="str">
        <f t="shared" si="5"/>
        <v>0x4F</v>
      </c>
      <c r="M5" s="59">
        <v>2.0</v>
      </c>
      <c r="N5" s="59" t="str">
        <f t="shared" si="6"/>
        <v>0x0F</v>
      </c>
      <c r="O5" s="71" t="str">
        <f t="shared" si="7"/>
        <v>0x4F</v>
      </c>
      <c r="P5" s="71" t="str">
        <f t="shared" ref="P5:P9" si="12">"0x"&amp;MID($B5,13,2)</f>
        <v>0x41</v>
      </c>
      <c r="Q5" s="71"/>
      <c r="R5" s="59"/>
      <c r="S5" s="71"/>
      <c r="T5" s="71"/>
      <c r="U5" s="71"/>
      <c r="V5" s="58">
        <v>15.0</v>
      </c>
      <c r="W5" s="58" t="str">
        <f t="shared" ref="W5:AE5" si="11">"0x" &amp; MID($B5,$V5  + 2*(COLUMN() - COLUMN($W5)), 2)</f>
        <v>0x58</v>
      </c>
      <c r="X5" s="58" t="str">
        <f t="shared" si="11"/>
        <v>0x0F</v>
      </c>
      <c r="Y5" s="58" t="str">
        <f t="shared" si="11"/>
        <v>0x48</v>
      </c>
      <c r="Z5" s="58" t="str">
        <f t="shared" si="11"/>
        <v>0x8D</v>
      </c>
      <c r="AA5" s="58" t="str">
        <f t="shared" si="11"/>
        <v>0xD2</v>
      </c>
      <c r="AB5" s="58" t="str">
        <f t="shared" si="11"/>
        <v>0x46</v>
      </c>
      <c r="AC5" s="58" t="str">
        <f t="shared" si="11"/>
        <v>0x02</v>
      </c>
      <c r="AD5" s="58" t="str">
        <f t="shared" si="11"/>
        <v>0x0F</v>
      </c>
      <c r="AE5" s="58" t="str">
        <f t="shared" si="11"/>
        <v>0x55</v>
      </c>
      <c r="AF5" s="58"/>
      <c r="AG5" s="58"/>
      <c r="AH5" s="58"/>
      <c r="AI5" s="58"/>
      <c r="AJ5" s="58"/>
      <c r="AK5" s="58"/>
      <c r="AL5" s="58"/>
      <c r="AM5" s="58"/>
      <c r="AN5" s="88" t="str">
        <f t="shared" si="9"/>
        <v>0xB0</v>
      </c>
    </row>
    <row r="6">
      <c r="A6" s="33" t="str">
        <f t="shared" si="2"/>
        <v>E912</v>
      </c>
      <c r="B6" s="34" t="str">
        <f>IFERROR(__xludf.DUMMYFUNCTION("REGEXREPLACE($H6, ""(?i)^8301(E000|E100|E200|E300)?"", """")"),"E91200010FBDBCBCBCBC7AEC5C982915291548AB")</f>
        <v>E91200010FBDBCBCBCBC7AEC5C982915291548AB</v>
      </c>
      <c r="C6" s="36" t="s">
        <v>18</v>
      </c>
      <c r="D6" s="36" t="s">
        <v>517</v>
      </c>
      <c r="E6" s="36" t="s">
        <v>106</v>
      </c>
      <c r="F6" s="36" t="s">
        <v>107</v>
      </c>
      <c r="G6" s="37">
        <v>46220.0</v>
      </c>
      <c r="H6" s="38" t="s">
        <v>404</v>
      </c>
      <c r="I6" s="36"/>
      <c r="J6" s="39" t="str">
        <f t="shared" si="3"/>
        <v>0x12</v>
      </c>
      <c r="K6" s="40" t="str">
        <f t="shared" si="4"/>
        <v>0x00</v>
      </c>
      <c r="L6" s="40" t="str">
        <f t="shared" si="5"/>
        <v>0x01</v>
      </c>
      <c r="M6" s="42">
        <v>4.0</v>
      </c>
      <c r="N6" s="42" t="str">
        <f t="shared" si="6"/>
        <v>0x0F</v>
      </c>
      <c r="O6" s="48" t="str">
        <f t="shared" si="7"/>
        <v>0xBD</v>
      </c>
      <c r="P6" s="48" t="str">
        <f t="shared" si="12"/>
        <v>0xBC</v>
      </c>
      <c r="Q6" s="48" t="str">
        <f t="shared" ref="Q6:Q9" si="14">"0x"&amp;MID($B6,15,2)</f>
        <v>0xBC</v>
      </c>
      <c r="R6" s="42"/>
      <c r="S6" s="48" t="str">
        <f t="shared" ref="S6:S9" si="15">"0x"&amp;MID($B6,17,2)</f>
        <v>0xBC</v>
      </c>
      <c r="T6" s="48" t="str">
        <f t="shared" ref="T6:T9" si="16">"0x"&amp;MID($B6,19,2)</f>
        <v>0xBC</v>
      </c>
      <c r="U6" s="48"/>
      <c r="V6" s="40">
        <v>21.0</v>
      </c>
      <c r="W6" s="40" t="str">
        <f t="shared" ref="W6:AF6" si="13">"0x" &amp; MID($B6,$V6  + 2*(COLUMN() - COLUMN($W6)), 2)</f>
        <v>0x7A</v>
      </c>
      <c r="X6" s="40" t="str">
        <f t="shared" si="13"/>
        <v>0xEC</v>
      </c>
      <c r="Y6" s="40" t="str">
        <f t="shared" si="13"/>
        <v>0x5C</v>
      </c>
      <c r="Z6" s="40" t="str">
        <f t="shared" si="13"/>
        <v>0x98</v>
      </c>
      <c r="AA6" s="40" t="str">
        <f t="shared" si="13"/>
        <v>0x29</v>
      </c>
      <c r="AB6" s="40" t="str">
        <f t="shared" si="13"/>
        <v>0x15</v>
      </c>
      <c r="AC6" s="40" t="str">
        <f t="shared" si="13"/>
        <v>0x29</v>
      </c>
      <c r="AD6" s="40" t="str">
        <f t="shared" si="13"/>
        <v>0x15</v>
      </c>
      <c r="AE6" s="40" t="str">
        <f t="shared" si="13"/>
        <v>0x48</v>
      </c>
      <c r="AF6" s="40" t="str">
        <f t="shared" si="13"/>
        <v>0xAB</v>
      </c>
      <c r="AG6" s="40"/>
      <c r="AH6" s="40"/>
      <c r="AI6" s="40"/>
      <c r="AJ6" s="40"/>
      <c r="AK6" s="40"/>
      <c r="AL6" s="40"/>
      <c r="AM6" s="40"/>
      <c r="AN6" s="64"/>
    </row>
    <row r="7">
      <c r="A7" s="51" t="str">
        <f t="shared" si="2"/>
        <v>E913</v>
      </c>
      <c r="B7" s="52" t="str">
        <f>IFERROR(__xludf.DUMMYFUNCTION("REGEXREPLACE($H7, ""(?i)^8301(E000|E100|E200|E300)?"", """")"),"E913000F0FBDA4A4A4A47AEC5C022915291548ABB0")</f>
        <v>E913000F0FBDA4A4A4A47AEC5C022915291548ABB0</v>
      </c>
      <c r="C7" s="65" t="s">
        <v>18</v>
      </c>
      <c r="D7" s="65" t="s">
        <v>518</v>
      </c>
      <c r="E7" s="65" t="s">
        <v>75</v>
      </c>
      <c r="F7" s="65" t="s">
        <v>120</v>
      </c>
      <c r="G7" s="67">
        <v>46219.0</v>
      </c>
      <c r="H7" s="68" t="s">
        <v>414</v>
      </c>
      <c r="I7" s="65"/>
      <c r="J7" s="57" t="str">
        <f t="shared" si="3"/>
        <v>0x13</v>
      </c>
      <c r="K7" s="58" t="str">
        <f t="shared" si="4"/>
        <v>0x00</v>
      </c>
      <c r="L7" s="58" t="str">
        <f t="shared" si="5"/>
        <v>0x0F</v>
      </c>
      <c r="M7" s="59">
        <v>4.0</v>
      </c>
      <c r="N7" s="59" t="str">
        <f t="shared" si="6"/>
        <v>0x0F</v>
      </c>
      <c r="O7" s="71" t="str">
        <f t="shared" si="7"/>
        <v>0xBD</v>
      </c>
      <c r="P7" s="71" t="str">
        <f t="shared" si="12"/>
        <v>0xA4</v>
      </c>
      <c r="Q7" s="71" t="str">
        <f t="shared" si="14"/>
        <v>0xA4</v>
      </c>
      <c r="R7" s="59"/>
      <c r="S7" s="71" t="str">
        <f t="shared" si="15"/>
        <v>0xA4</v>
      </c>
      <c r="T7" s="71" t="str">
        <f t="shared" si="16"/>
        <v>0xA4</v>
      </c>
      <c r="U7" s="71"/>
      <c r="V7" s="58">
        <v>21.0</v>
      </c>
      <c r="W7" s="58" t="str">
        <f t="shared" ref="W7:AF7" si="17">"0x" &amp; MID($B7,$V7  + 2*(COLUMN() - COLUMN($W7)), 2)</f>
        <v>0x7A</v>
      </c>
      <c r="X7" s="58" t="str">
        <f t="shared" si="17"/>
        <v>0xEC</v>
      </c>
      <c r="Y7" s="58" t="str">
        <f t="shared" si="17"/>
        <v>0x5C</v>
      </c>
      <c r="Z7" s="58" t="str">
        <f t="shared" si="17"/>
        <v>0x02</v>
      </c>
      <c r="AA7" s="58" t="str">
        <f t="shared" si="17"/>
        <v>0x29</v>
      </c>
      <c r="AB7" s="58" t="str">
        <f t="shared" si="17"/>
        <v>0x15</v>
      </c>
      <c r="AC7" s="58" t="str">
        <f t="shared" si="17"/>
        <v>0x29</v>
      </c>
      <c r="AD7" s="58" t="str">
        <f t="shared" si="17"/>
        <v>0x15</v>
      </c>
      <c r="AE7" s="58" t="str">
        <f t="shared" si="17"/>
        <v>0x48</v>
      </c>
      <c r="AF7" s="58" t="str">
        <f t="shared" si="17"/>
        <v>0xAB</v>
      </c>
      <c r="AG7" s="58"/>
      <c r="AH7" s="58"/>
      <c r="AI7" s="58"/>
      <c r="AJ7" s="58"/>
      <c r="AK7" s="58"/>
      <c r="AL7" s="58"/>
      <c r="AM7" s="58"/>
      <c r="AN7" s="74" t="str">
        <f t="shared" ref="AN7:AN9" si="19">"0x"&amp;MID($B7,41,2)</f>
        <v>0xB0</v>
      </c>
    </row>
    <row r="8">
      <c r="A8" s="33" t="str">
        <f t="shared" si="2"/>
        <v>E913</v>
      </c>
      <c r="B8" s="34" t="str">
        <f>IFERROR(__xludf.DUMMYFUNCTION("REGEXREPLACE($H8, ""(?i)^8301(E000|E100|E200|E300)?"", """")"),"E91300420FBDB5AFB5AF7AEC5C0A2915291548ABB0")</f>
        <v>E91300420FBDB5AFB5AF7AEC5C0A2915291548ABB0</v>
      </c>
      <c r="C8" s="36" t="s">
        <v>18</v>
      </c>
      <c r="D8" s="36" t="s">
        <v>518</v>
      </c>
      <c r="E8" s="36" t="s">
        <v>106</v>
      </c>
      <c r="F8" s="36" t="s">
        <v>175</v>
      </c>
      <c r="G8" s="37">
        <v>46220.0</v>
      </c>
      <c r="H8" s="38" t="s">
        <v>415</v>
      </c>
      <c r="I8" s="36"/>
      <c r="J8" s="39" t="str">
        <f t="shared" si="3"/>
        <v>0x13</v>
      </c>
      <c r="K8" s="40" t="str">
        <f t="shared" si="4"/>
        <v>0x00</v>
      </c>
      <c r="L8" s="40" t="str">
        <f t="shared" si="5"/>
        <v>0x42</v>
      </c>
      <c r="M8" s="42">
        <v>4.0</v>
      </c>
      <c r="N8" s="42" t="str">
        <f t="shared" si="6"/>
        <v>0x0F</v>
      </c>
      <c r="O8" s="48" t="str">
        <f t="shared" si="7"/>
        <v>0xBD</v>
      </c>
      <c r="P8" s="48" t="str">
        <f t="shared" si="12"/>
        <v>0xB5</v>
      </c>
      <c r="Q8" s="48" t="str">
        <f t="shared" si="14"/>
        <v>0xAF</v>
      </c>
      <c r="R8" s="42"/>
      <c r="S8" s="48" t="str">
        <f t="shared" si="15"/>
        <v>0xB5</v>
      </c>
      <c r="T8" s="48" t="str">
        <f t="shared" si="16"/>
        <v>0xAF</v>
      </c>
      <c r="U8" s="48"/>
      <c r="V8" s="40">
        <v>21.0</v>
      </c>
      <c r="W8" s="40" t="str">
        <f t="shared" ref="W8:AF8" si="18">"0x" &amp; MID($B8,$V8  + 2*(COLUMN() - COLUMN($W8)), 2)</f>
        <v>0x7A</v>
      </c>
      <c r="X8" s="40" t="str">
        <f t="shared" si="18"/>
        <v>0xEC</v>
      </c>
      <c r="Y8" s="40" t="str">
        <f t="shared" si="18"/>
        <v>0x5C</v>
      </c>
      <c r="Z8" s="40" t="str">
        <f t="shared" si="18"/>
        <v>0x0A</v>
      </c>
      <c r="AA8" s="40" t="str">
        <f t="shared" si="18"/>
        <v>0x29</v>
      </c>
      <c r="AB8" s="40" t="str">
        <f t="shared" si="18"/>
        <v>0x15</v>
      </c>
      <c r="AC8" s="40" t="str">
        <f t="shared" si="18"/>
        <v>0x29</v>
      </c>
      <c r="AD8" s="40" t="str">
        <f t="shared" si="18"/>
        <v>0x15</v>
      </c>
      <c r="AE8" s="40" t="str">
        <f t="shared" si="18"/>
        <v>0x48</v>
      </c>
      <c r="AF8" s="40" t="str">
        <f t="shared" si="18"/>
        <v>0xAB</v>
      </c>
      <c r="AG8" s="40"/>
      <c r="AH8" s="40"/>
      <c r="AI8" s="40"/>
      <c r="AJ8" s="40"/>
      <c r="AK8" s="40"/>
      <c r="AL8" s="40"/>
      <c r="AM8" s="40"/>
      <c r="AN8" s="64" t="str">
        <f t="shared" si="19"/>
        <v>0xB0</v>
      </c>
    </row>
    <row r="9">
      <c r="A9" s="51" t="str">
        <f t="shared" si="2"/>
        <v>E913</v>
      </c>
      <c r="B9" s="52" t="str">
        <f>IFERROR(__xludf.DUMMYFUNCTION("REGEXREPLACE($H9, ""(?i)^8301(E000|E100|E200|E300)?"", """")"),"E91300440FBDB1ADB1AD7AEC5C062915291548ABB0")</f>
        <v>E91300440FBDB1ADB1AD7AEC5C062915291548ABB0</v>
      </c>
      <c r="C9" s="65" t="s">
        <v>18</v>
      </c>
      <c r="D9" s="65" t="s">
        <v>518</v>
      </c>
      <c r="E9" s="65" t="s">
        <v>75</v>
      </c>
      <c r="F9" s="65" t="s">
        <v>120</v>
      </c>
      <c r="G9" s="67">
        <v>46228.0</v>
      </c>
      <c r="H9" s="68" t="s">
        <v>416</v>
      </c>
      <c r="I9" s="65"/>
      <c r="J9" s="57" t="str">
        <f t="shared" si="3"/>
        <v>0x13</v>
      </c>
      <c r="K9" s="58" t="str">
        <f t="shared" si="4"/>
        <v>0x00</v>
      </c>
      <c r="L9" s="58" t="str">
        <f t="shared" si="5"/>
        <v>0x44</v>
      </c>
      <c r="M9" s="59">
        <v>4.0</v>
      </c>
      <c r="N9" s="59" t="str">
        <f t="shared" si="6"/>
        <v>0x0F</v>
      </c>
      <c r="O9" s="71" t="str">
        <f t="shared" si="7"/>
        <v>0xBD</v>
      </c>
      <c r="P9" s="71" t="str">
        <f t="shared" si="12"/>
        <v>0xB1</v>
      </c>
      <c r="Q9" s="71" t="str">
        <f t="shared" si="14"/>
        <v>0xAD</v>
      </c>
      <c r="R9" s="59"/>
      <c r="S9" s="71" t="str">
        <f t="shared" si="15"/>
        <v>0xB1</v>
      </c>
      <c r="T9" s="71" t="str">
        <f t="shared" si="16"/>
        <v>0xAD</v>
      </c>
      <c r="U9" s="71"/>
      <c r="V9" s="58">
        <v>21.0</v>
      </c>
      <c r="W9" s="58" t="str">
        <f t="shared" ref="W9:AF9" si="20">"0x" &amp; MID($B9,$V9  + 2*(COLUMN() - COLUMN($W9)), 2)</f>
        <v>0x7A</v>
      </c>
      <c r="X9" s="58" t="str">
        <f t="shared" si="20"/>
        <v>0xEC</v>
      </c>
      <c r="Y9" s="58" t="str">
        <f t="shared" si="20"/>
        <v>0x5C</v>
      </c>
      <c r="Z9" s="58" t="str">
        <f t="shared" si="20"/>
        <v>0x06</v>
      </c>
      <c r="AA9" s="58" t="str">
        <f t="shared" si="20"/>
        <v>0x29</v>
      </c>
      <c r="AB9" s="58" t="str">
        <f t="shared" si="20"/>
        <v>0x15</v>
      </c>
      <c r="AC9" s="58" t="str">
        <f t="shared" si="20"/>
        <v>0x29</v>
      </c>
      <c r="AD9" s="58" t="str">
        <f t="shared" si="20"/>
        <v>0x15</v>
      </c>
      <c r="AE9" s="58" t="str">
        <f t="shared" si="20"/>
        <v>0x48</v>
      </c>
      <c r="AF9" s="58" t="str">
        <f t="shared" si="20"/>
        <v>0xAB</v>
      </c>
      <c r="AG9" s="58"/>
      <c r="AH9" s="58"/>
      <c r="AI9" s="58"/>
      <c r="AJ9" s="58"/>
      <c r="AK9" s="58"/>
      <c r="AL9" s="58"/>
      <c r="AM9" s="58"/>
      <c r="AN9" s="74" t="str">
        <f t="shared" si="19"/>
        <v>0xB0</v>
      </c>
    </row>
  </sheetData>
  <autoFilter ref="$A$1:$AN$9">
    <sortState ref="A1:AN9">
      <sortCondition ref="C1:C9"/>
      <sortCondition ref="B1:B9"/>
      <sortCondition ref="N1:N9"/>
      <sortCondition ref="W1:W9"/>
    </sortState>
  </autoFil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hidden="1" min="5" max="5" width="10.5"/>
    <col customWidth="1" hidden="1" min="6" max="6" width="14.75"/>
    <col customWidth="1" hidden="1" min="7" max="7" width="9.5"/>
    <col customWidth="1" hidden="1" min="8" max="8" width="53.0"/>
    <col customWidth="1" hidden="1" min="9" max="9" width="12.63"/>
    <col customWidth="1" min="10" max="10" width="9.0"/>
    <col customWidth="1" min="11" max="11" width="5.88"/>
    <col customWidth="1" min="12" max="12" width="5.75"/>
    <col customWidth="1" min="13" max="13" width="4.38"/>
    <col customWidth="1" min="14" max="14" width="7.0"/>
    <col customWidth="1" min="15" max="17" width="5.63"/>
    <col customWidth="1" min="18" max="18" width="7.0"/>
    <col customWidth="1" min="19" max="21" width="5.63"/>
    <col customWidth="1" min="22" max="22" width="7.25"/>
    <col customWidth="1" min="23" max="33" width="6.38"/>
    <col customWidth="1" min="34" max="34" width="6.25"/>
    <col customWidth="1" min="35" max="39" width="6.38"/>
    <col customWidth="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c r="A2" s="33" t="str">
        <f t="shared" ref="A2:A22" si="1">LEFT($B2, 4)</f>
        <v>E907</v>
      </c>
      <c r="B2" s="34" t="str">
        <f>IFERROR(__xludf.DUMMYFUNCTION("REGEXREPLACE($H2, ""(?i)^8301(E000|E100|E200|E300)?"", """")"),"E9070021D255FC6400")</f>
        <v>E9070021D255FC6400</v>
      </c>
      <c r="C2" s="36" t="s">
        <v>198</v>
      </c>
      <c r="D2" s="36" t="s">
        <v>493</v>
      </c>
      <c r="E2" s="36" t="s">
        <v>106</v>
      </c>
      <c r="F2" s="36" t="s">
        <v>107</v>
      </c>
      <c r="G2" s="37">
        <v>46220.0</v>
      </c>
      <c r="H2" s="38" t="s">
        <v>169</v>
      </c>
      <c r="I2" s="35"/>
      <c r="J2" s="92" t="str">
        <f t="shared" ref="J2:J22" si="2">"0x"&amp;mid($B2,3,2)</f>
        <v>0x07</v>
      </c>
      <c r="K2" s="47" t="str">
        <f t="shared" ref="K2:K22" si="3">"0x"&amp;MID($B2,5,2)</f>
        <v>0x00</v>
      </c>
      <c r="L2" s="47" t="str">
        <f t="shared" ref="L2:L22" si="4">"0x"&amp;MID($B2,7,2)</f>
        <v>0x21</v>
      </c>
      <c r="M2" s="42">
        <v>1.0</v>
      </c>
      <c r="N2" s="78" t="str">
        <f t="shared" ref="N2:N22" si="5">"0x"&amp;MID($B2,9,4)</f>
        <v>0xD255</v>
      </c>
      <c r="O2" s="72" t="str">
        <f t="shared" ref="O2:O22" si="6">"0x"&amp;MID($B2,13,2)</f>
        <v>0xFC</v>
      </c>
      <c r="P2" s="72" t="str">
        <f t="shared" ref="P2:P22" si="7">"0x"&amp;MID($B2,15,2)</f>
        <v>0x64</v>
      </c>
      <c r="Q2" s="72" t="str">
        <f t="shared" ref="Q2:Q22" si="8">"0x"&amp;MID($B2,17,2)</f>
        <v>0x00</v>
      </c>
      <c r="R2" s="78"/>
      <c r="S2" s="72"/>
      <c r="T2" s="72"/>
      <c r="U2" s="72"/>
      <c r="V2" s="93"/>
      <c r="W2" s="93"/>
      <c r="X2" s="93"/>
      <c r="Y2" s="93"/>
      <c r="Z2" s="93"/>
      <c r="AA2" s="93"/>
      <c r="AB2" s="93"/>
      <c r="AC2" s="93"/>
      <c r="AD2" s="93"/>
      <c r="AE2" s="93"/>
      <c r="AF2" s="93"/>
      <c r="AG2" s="93"/>
      <c r="AH2" s="93"/>
      <c r="AI2" s="93"/>
      <c r="AJ2" s="93"/>
      <c r="AK2" s="93"/>
      <c r="AL2" s="93"/>
      <c r="AM2" s="93"/>
      <c r="AN2" s="64"/>
    </row>
    <row r="3">
      <c r="A3" s="51" t="str">
        <f t="shared" si="1"/>
        <v>E907</v>
      </c>
      <c r="B3" s="52" t="str">
        <f>IFERROR(__xludf.DUMMYFUNCTION("REGEXREPLACE($H3, ""(?i)^8301(E000|E100|E200|E300)?"", """")"),"E9070024D255FC0000")</f>
        <v>E9070024D255FC0000</v>
      </c>
      <c r="C3" s="65" t="s">
        <v>198</v>
      </c>
      <c r="D3" s="65" t="s">
        <v>493</v>
      </c>
      <c r="E3" s="65" t="s">
        <v>106</v>
      </c>
      <c r="F3" s="65" t="s">
        <v>107</v>
      </c>
      <c r="G3" s="67">
        <v>46220.0</v>
      </c>
      <c r="H3" s="68" t="s">
        <v>171</v>
      </c>
      <c r="I3" s="53"/>
      <c r="J3" s="57" t="str">
        <f t="shared" si="2"/>
        <v>0x07</v>
      </c>
      <c r="K3" s="58" t="str">
        <f t="shared" si="3"/>
        <v>0x00</v>
      </c>
      <c r="L3" s="58" t="str">
        <f t="shared" si="4"/>
        <v>0x24</v>
      </c>
      <c r="M3" s="59">
        <v>1.0</v>
      </c>
      <c r="N3" s="59" t="str">
        <f t="shared" si="5"/>
        <v>0xD255</v>
      </c>
      <c r="O3" s="71" t="str">
        <f t="shared" si="6"/>
        <v>0xFC</v>
      </c>
      <c r="P3" s="71" t="str">
        <f t="shared" si="7"/>
        <v>0x00</v>
      </c>
      <c r="Q3" s="71" t="str">
        <f t="shared" si="8"/>
        <v>0x00</v>
      </c>
      <c r="R3" s="59"/>
      <c r="S3" s="84"/>
      <c r="T3" s="84"/>
      <c r="U3" s="84"/>
      <c r="V3" s="63"/>
      <c r="W3" s="63"/>
      <c r="X3" s="63"/>
      <c r="Y3" s="63"/>
      <c r="Z3" s="63"/>
      <c r="AA3" s="63"/>
      <c r="AB3" s="63"/>
      <c r="AC3" s="63"/>
      <c r="AD3" s="63"/>
      <c r="AE3" s="63"/>
      <c r="AF3" s="63"/>
      <c r="AG3" s="63"/>
      <c r="AH3" s="63"/>
      <c r="AI3" s="63"/>
      <c r="AJ3" s="63"/>
      <c r="AK3" s="63"/>
      <c r="AL3" s="63"/>
      <c r="AM3" s="63"/>
      <c r="AN3" s="66"/>
    </row>
    <row r="4">
      <c r="A4" s="33" t="str">
        <f t="shared" si="1"/>
        <v>E907</v>
      </c>
      <c r="B4" s="34" t="str">
        <f>IFERROR(__xludf.DUMMYFUNCTION("REGEXREPLACE($H4, ""(?i)^8301(E000|E100|E200|E300)?"", """")"),"E907004FD255003C48")</f>
        <v>E907004FD255003C48</v>
      </c>
      <c r="C4" s="36" t="s">
        <v>198</v>
      </c>
      <c r="D4" s="36" t="s">
        <v>493</v>
      </c>
      <c r="E4" s="36" t="s">
        <v>106</v>
      </c>
      <c r="F4" s="36" t="s">
        <v>107</v>
      </c>
      <c r="G4" s="37">
        <v>46220.0</v>
      </c>
      <c r="H4" s="38" t="s">
        <v>172</v>
      </c>
      <c r="I4" s="35"/>
      <c r="J4" s="39" t="str">
        <f t="shared" si="2"/>
        <v>0x07</v>
      </c>
      <c r="K4" s="40" t="str">
        <f t="shared" si="3"/>
        <v>0x00</v>
      </c>
      <c r="L4" s="40" t="str">
        <f t="shared" si="4"/>
        <v>0x4F</v>
      </c>
      <c r="M4" s="42">
        <v>1.0</v>
      </c>
      <c r="N4" s="42" t="str">
        <f t="shared" si="5"/>
        <v>0xD255</v>
      </c>
      <c r="O4" s="48" t="str">
        <f t="shared" si="6"/>
        <v>0x00</v>
      </c>
      <c r="P4" s="48" t="str">
        <f t="shared" si="7"/>
        <v>0x3C</v>
      </c>
      <c r="Q4" s="48" t="str">
        <f t="shared" si="8"/>
        <v>0x48</v>
      </c>
      <c r="R4" s="42"/>
      <c r="S4" s="72"/>
      <c r="T4" s="72"/>
      <c r="U4" s="72"/>
      <c r="V4" s="49"/>
      <c r="W4" s="49"/>
      <c r="X4" s="49"/>
      <c r="Y4" s="49"/>
      <c r="Z4" s="49"/>
      <c r="AA4" s="49"/>
      <c r="AB4" s="49"/>
      <c r="AC4" s="49"/>
      <c r="AD4" s="49"/>
      <c r="AE4" s="49"/>
      <c r="AF4" s="49"/>
      <c r="AG4" s="49"/>
      <c r="AH4" s="49"/>
      <c r="AI4" s="49"/>
      <c r="AJ4" s="49"/>
      <c r="AK4" s="49"/>
      <c r="AL4" s="49"/>
      <c r="AM4" s="49"/>
      <c r="AN4" s="50"/>
    </row>
    <row r="5">
      <c r="A5" s="51" t="str">
        <f t="shared" si="1"/>
        <v>E907</v>
      </c>
      <c r="B5" s="52" t="str">
        <f>IFERROR(__xludf.DUMMYFUNCTION("REGEXREPLACE($H5, ""(?i)^8301(E000|E100|E200|E300)?"", """")"),"E907004FD2550041FC")</f>
        <v>E907004FD2550041FC</v>
      </c>
      <c r="C5" s="65" t="s">
        <v>198</v>
      </c>
      <c r="D5" s="65" t="s">
        <v>493</v>
      </c>
      <c r="E5" s="65" t="s">
        <v>106</v>
      </c>
      <c r="F5" s="65" t="s">
        <v>107</v>
      </c>
      <c r="G5" s="67">
        <v>46220.0</v>
      </c>
      <c r="H5" s="68" t="s">
        <v>173</v>
      </c>
      <c r="I5" s="53"/>
      <c r="J5" s="57" t="str">
        <f t="shared" si="2"/>
        <v>0x07</v>
      </c>
      <c r="K5" s="58" t="str">
        <f t="shared" si="3"/>
        <v>0x00</v>
      </c>
      <c r="L5" s="58" t="str">
        <f t="shared" si="4"/>
        <v>0x4F</v>
      </c>
      <c r="M5" s="59">
        <v>1.0</v>
      </c>
      <c r="N5" s="59" t="str">
        <f t="shared" si="5"/>
        <v>0xD255</v>
      </c>
      <c r="O5" s="71" t="str">
        <f t="shared" si="6"/>
        <v>0x00</v>
      </c>
      <c r="P5" s="71" t="str">
        <f t="shared" si="7"/>
        <v>0x41</v>
      </c>
      <c r="Q5" s="71" t="str">
        <f t="shared" si="8"/>
        <v>0xFC</v>
      </c>
      <c r="R5" s="59"/>
      <c r="S5" s="84"/>
      <c r="T5" s="84"/>
      <c r="U5" s="84"/>
      <c r="V5" s="63"/>
      <c r="W5" s="63"/>
      <c r="X5" s="63"/>
      <c r="Y5" s="63"/>
      <c r="Z5" s="63"/>
      <c r="AA5" s="63"/>
      <c r="AB5" s="63"/>
      <c r="AC5" s="63"/>
      <c r="AD5" s="63"/>
      <c r="AE5" s="63"/>
      <c r="AF5" s="63"/>
      <c r="AG5" s="63"/>
      <c r="AH5" s="63"/>
      <c r="AI5" s="63"/>
      <c r="AJ5" s="63"/>
      <c r="AK5" s="63"/>
      <c r="AL5" s="63"/>
      <c r="AM5" s="63"/>
      <c r="AN5" s="66"/>
    </row>
    <row r="6">
      <c r="A6" s="33" t="str">
        <f t="shared" si="1"/>
        <v>E907</v>
      </c>
      <c r="B6" s="34" t="str">
        <f>IFERROR(__xludf.DUMMYFUNCTION("REGEXREPLACE($H6, ""(?i)^8301(E000|E100|E200|E300)?"", """")"),"E907004FD2553D00FC")</f>
        <v>E907004FD2553D00FC</v>
      </c>
      <c r="C6" s="36" t="s">
        <v>198</v>
      </c>
      <c r="D6" s="36" t="s">
        <v>493</v>
      </c>
      <c r="E6" s="36" t="s">
        <v>106</v>
      </c>
      <c r="F6" s="36" t="s">
        <v>107</v>
      </c>
      <c r="G6" s="37">
        <v>46220.0</v>
      </c>
      <c r="H6" s="38" t="s">
        <v>174</v>
      </c>
      <c r="I6" s="35"/>
      <c r="J6" s="39" t="str">
        <f t="shared" si="2"/>
        <v>0x07</v>
      </c>
      <c r="K6" s="40" t="str">
        <f t="shared" si="3"/>
        <v>0x00</v>
      </c>
      <c r="L6" s="40" t="str">
        <f t="shared" si="4"/>
        <v>0x4F</v>
      </c>
      <c r="M6" s="42">
        <v>1.0</v>
      </c>
      <c r="N6" s="42" t="str">
        <f t="shared" si="5"/>
        <v>0xD255</v>
      </c>
      <c r="O6" s="48" t="str">
        <f t="shared" si="6"/>
        <v>0x3D</v>
      </c>
      <c r="P6" s="48" t="str">
        <f t="shared" si="7"/>
        <v>0x00</v>
      </c>
      <c r="Q6" s="48" t="str">
        <f t="shared" si="8"/>
        <v>0xFC</v>
      </c>
      <c r="R6" s="42"/>
      <c r="S6" s="72"/>
      <c r="T6" s="72"/>
      <c r="U6" s="72"/>
      <c r="V6" s="49"/>
      <c r="W6" s="49"/>
      <c r="X6" s="49"/>
      <c r="Y6" s="49"/>
      <c r="Z6" s="49"/>
      <c r="AA6" s="49"/>
      <c r="AB6" s="49"/>
      <c r="AC6" s="49"/>
      <c r="AD6" s="49"/>
      <c r="AE6" s="49"/>
      <c r="AF6" s="49"/>
      <c r="AG6" s="49"/>
      <c r="AH6" s="49"/>
      <c r="AI6" s="49"/>
      <c r="AJ6" s="49"/>
      <c r="AK6" s="49"/>
      <c r="AL6" s="49"/>
      <c r="AM6" s="49"/>
      <c r="AN6" s="50"/>
    </row>
    <row r="7">
      <c r="A7" s="51" t="str">
        <f t="shared" si="1"/>
        <v>E907</v>
      </c>
      <c r="B7" s="52" t="str">
        <f>IFERROR(__xludf.DUMMYFUNCTION("REGEXREPLACE($H7, ""(?i)^8301(E000|E100|E200|E300)?"", """")"),"E907004FD2554B0000")</f>
        <v>E907004FD2554B0000</v>
      </c>
      <c r="C7" s="65" t="s">
        <v>198</v>
      </c>
      <c r="D7" s="65" t="s">
        <v>493</v>
      </c>
      <c r="E7" s="65" t="s">
        <v>106</v>
      </c>
      <c r="F7" s="65" t="s">
        <v>107</v>
      </c>
      <c r="G7" s="67">
        <v>46220.0</v>
      </c>
      <c r="H7" s="68" t="s">
        <v>176</v>
      </c>
      <c r="I7" s="53"/>
      <c r="J7" s="57" t="str">
        <f t="shared" si="2"/>
        <v>0x07</v>
      </c>
      <c r="K7" s="58" t="str">
        <f t="shared" si="3"/>
        <v>0x00</v>
      </c>
      <c r="L7" s="58" t="str">
        <f t="shared" si="4"/>
        <v>0x4F</v>
      </c>
      <c r="M7" s="59">
        <v>1.0</v>
      </c>
      <c r="N7" s="59" t="str">
        <f t="shared" si="5"/>
        <v>0xD255</v>
      </c>
      <c r="O7" s="71" t="str">
        <f t="shared" si="6"/>
        <v>0x4B</v>
      </c>
      <c r="P7" s="71" t="str">
        <f t="shared" si="7"/>
        <v>0x00</v>
      </c>
      <c r="Q7" s="71" t="str">
        <f t="shared" si="8"/>
        <v>0x00</v>
      </c>
      <c r="R7" s="59"/>
      <c r="S7" s="84"/>
      <c r="T7" s="84"/>
      <c r="U7" s="84"/>
      <c r="V7" s="63"/>
      <c r="W7" s="63"/>
      <c r="X7" s="63"/>
      <c r="Y7" s="63"/>
      <c r="Z7" s="63"/>
      <c r="AA7" s="63"/>
      <c r="AB7" s="63"/>
      <c r="AC7" s="63"/>
      <c r="AD7" s="63"/>
      <c r="AE7" s="63"/>
      <c r="AF7" s="63"/>
      <c r="AG7" s="63"/>
      <c r="AH7" s="63"/>
      <c r="AI7" s="63"/>
      <c r="AJ7" s="63"/>
      <c r="AK7" s="63"/>
      <c r="AL7" s="63"/>
      <c r="AM7" s="63"/>
      <c r="AN7" s="66"/>
    </row>
    <row r="8">
      <c r="A8" s="33" t="str">
        <f t="shared" si="1"/>
        <v>E907</v>
      </c>
      <c r="B8" s="34" t="str">
        <f>IFERROR(__xludf.DUMMYFUNCTION("REGEXREPLACE($H8, ""(?i)^8301(E000|E100|E200|E300)?"", """")"),"E907006BD255570000")</f>
        <v>E907006BD255570000</v>
      </c>
      <c r="C8" s="36" t="s">
        <v>198</v>
      </c>
      <c r="D8" s="36" t="s">
        <v>493</v>
      </c>
      <c r="E8" s="36" t="s">
        <v>106</v>
      </c>
      <c r="F8" s="36" t="s">
        <v>107</v>
      </c>
      <c r="G8" s="37">
        <v>46220.0</v>
      </c>
      <c r="H8" s="38" t="s">
        <v>178</v>
      </c>
      <c r="I8" s="35"/>
      <c r="J8" s="39" t="str">
        <f t="shared" si="2"/>
        <v>0x07</v>
      </c>
      <c r="K8" s="40" t="str">
        <f t="shared" si="3"/>
        <v>0x00</v>
      </c>
      <c r="L8" s="40" t="str">
        <f t="shared" si="4"/>
        <v>0x6B</v>
      </c>
      <c r="M8" s="42">
        <v>1.0</v>
      </c>
      <c r="N8" s="42" t="str">
        <f t="shared" si="5"/>
        <v>0xD255</v>
      </c>
      <c r="O8" s="48" t="str">
        <f t="shared" si="6"/>
        <v>0x57</v>
      </c>
      <c r="P8" s="48" t="str">
        <f t="shared" si="7"/>
        <v>0x00</v>
      </c>
      <c r="Q8" s="48" t="str">
        <f t="shared" si="8"/>
        <v>0x00</v>
      </c>
      <c r="R8" s="42"/>
      <c r="S8" s="72"/>
      <c r="T8" s="72"/>
      <c r="U8" s="72"/>
      <c r="V8" s="49"/>
      <c r="W8" s="49"/>
      <c r="X8" s="49"/>
      <c r="Y8" s="49"/>
      <c r="Z8" s="49"/>
      <c r="AA8" s="49"/>
      <c r="AB8" s="49"/>
      <c r="AC8" s="49"/>
      <c r="AD8" s="49"/>
      <c r="AE8" s="49"/>
      <c r="AF8" s="49"/>
      <c r="AG8" s="49"/>
      <c r="AH8" s="49"/>
      <c r="AI8" s="49"/>
      <c r="AJ8" s="49"/>
      <c r="AK8" s="49"/>
      <c r="AL8" s="49"/>
      <c r="AM8" s="49"/>
      <c r="AN8" s="50"/>
    </row>
    <row r="9">
      <c r="A9" s="51" t="str">
        <f t="shared" si="1"/>
        <v>E907</v>
      </c>
      <c r="B9" s="52" t="str">
        <f>IFERROR(__xludf.DUMMYFUNCTION("REGEXREPLACE($H9, ""(?i)^8301(E000|E100|E200|E300)?"", """")"),"E9070074D255004004")</f>
        <v>E9070074D255004004</v>
      </c>
      <c r="C9" s="65" t="s">
        <v>198</v>
      </c>
      <c r="D9" s="65" t="s">
        <v>493</v>
      </c>
      <c r="E9" s="65" t="s">
        <v>106</v>
      </c>
      <c r="F9" s="65" t="s">
        <v>107</v>
      </c>
      <c r="G9" s="67">
        <v>46220.0</v>
      </c>
      <c r="H9" s="68" t="s">
        <v>179</v>
      </c>
      <c r="I9" s="53"/>
      <c r="J9" s="57" t="str">
        <f t="shared" si="2"/>
        <v>0x07</v>
      </c>
      <c r="K9" s="58" t="str">
        <f t="shared" si="3"/>
        <v>0x00</v>
      </c>
      <c r="L9" s="58" t="str">
        <f t="shared" si="4"/>
        <v>0x74</v>
      </c>
      <c r="M9" s="59">
        <v>1.0</v>
      </c>
      <c r="N9" s="59" t="str">
        <f t="shared" si="5"/>
        <v>0xD255</v>
      </c>
      <c r="O9" s="71" t="str">
        <f t="shared" si="6"/>
        <v>0x00</v>
      </c>
      <c r="P9" s="71" t="str">
        <f t="shared" si="7"/>
        <v>0x40</v>
      </c>
      <c r="Q9" s="71" t="str">
        <f t="shared" si="8"/>
        <v>0x04</v>
      </c>
      <c r="R9" s="59"/>
      <c r="S9" s="84"/>
      <c r="T9" s="84"/>
      <c r="U9" s="84"/>
      <c r="V9" s="63"/>
      <c r="W9" s="63"/>
      <c r="X9" s="63"/>
      <c r="Y9" s="63"/>
      <c r="Z9" s="63"/>
      <c r="AA9" s="63"/>
      <c r="AB9" s="63"/>
      <c r="AC9" s="63"/>
      <c r="AD9" s="63"/>
      <c r="AE9" s="63"/>
      <c r="AF9" s="63"/>
      <c r="AG9" s="63"/>
      <c r="AH9" s="63"/>
      <c r="AI9" s="63"/>
      <c r="AJ9" s="63"/>
      <c r="AK9" s="63"/>
      <c r="AL9" s="63"/>
      <c r="AM9" s="63"/>
      <c r="AN9" s="66"/>
    </row>
    <row r="10">
      <c r="A10" s="33" t="str">
        <f t="shared" si="1"/>
        <v>E908</v>
      </c>
      <c r="B10" s="34" t="str">
        <f>IFERROR(__xludf.DUMMYFUNCTION("REGEXREPLACE($H10, ""(?i)^8301(E000|E100|E200|E300)?"", """")"),"E9080021D255456461BA")</f>
        <v>E9080021D255456461BA</v>
      </c>
      <c r="C10" s="36" t="s">
        <v>198</v>
      </c>
      <c r="D10" s="36" t="s">
        <v>493</v>
      </c>
      <c r="E10" s="36" t="s">
        <v>106</v>
      </c>
      <c r="F10" s="36" t="s">
        <v>107</v>
      </c>
      <c r="G10" s="37">
        <v>46220.0</v>
      </c>
      <c r="H10" s="38" t="s">
        <v>181</v>
      </c>
      <c r="I10" s="35"/>
      <c r="J10" s="39" t="str">
        <f t="shared" si="2"/>
        <v>0x08</v>
      </c>
      <c r="K10" s="40" t="str">
        <f t="shared" si="3"/>
        <v>0x00</v>
      </c>
      <c r="L10" s="40" t="str">
        <f t="shared" si="4"/>
        <v>0x21</v>
      </c>
      <c r="M10" s="42">
        <v>1.0</v>
      </c>
      <c r="N10" s="42" t="str">
        <f t="shared" si="5"/>
        <v>0xD255</v>
      </c>
      <c r="O10" s="48" t="str">
        <f t="shared" si="6"/>
        <v>0x45</v>
      </c>
      <c r="P10" s="48" t="str">
        <f t="shared" si="7"/>
        <v>0x64</v>
      </c>
      <c r="Q10" s="48" t="str">
        <f t="shared" si="8"/>
        <v>0x61</v>
      </c>
      <c r="R10" s="42"/>
      <c r="S10" s="72"/>
      <c r="T10" s="72"/>
      <c r="U10" s="72"/>
      <c r="V10" s="49"/>
      <c r="W10" s="49"/>
      <c r="X10" s="49"/>
      <c r="Y10" s="49"/>
      <c r="Z10" s="49"/>
      <c r="AA10" s="49"/>
      <c r="AB10" s="49"/>
      <c r="AC10" s="49"/>
      <c r="AD10" s="49"/>
      <c r="AE10" s="49"/>
      <c r="AF10" s="49"/>
      <c r="AG10" s="49"/>
      <c r="AH10" s="49"/>
      <c r="AI10" s="49"/>
      <c r="AJ10" s="49"/>
      <c r="AK10" s="49"/>
      <c r="AL10" s="49"/>
      <c r="AM10" s="49"/>
      <c r="AN10" s="50"/>
    </row>
    <row r="11">
      <c r="A11" s="51" t="str">
        <f t="shared" si="1"/>
        <v>E908</v>
      </c>
      <c r="B11" s="52" t="str">
        <f>IFERROR(__xludf.DUMMYFUNCTION("REGEXREPLACE($H11, ""(?i)^8301(E000|E100|E200|E300)?"", """")"),"E9080043D255000000B0")</f>
        <v>E9080043D255000000B0</v>
      </c>
      <c r="C11" s="65" t="s">
        <v>198</v>
      </c>
      <c r="D11" s="65" t="s">
        <v>493</v>
      </c>
      <c r="E11" s="65" t="s">
        <v>75</v>
      </c>
      <c r="F11" s="65" t="s">
        <v>120</v>
      </c>
      <c r="G11" s="67">
        <v>46219.0</v>
      </c>
      <c r="H11" s="68" t="s">
        <v>182</v>
      </c>
      <c r="I11" s="53"/>
      <c r="J11" s="57" t="str">
        <f t="shared" si="2"/>
        <v>0x08</v>
      </c>
      <c r="K11" s="58" t="str">
        <f t="shared" si="3"/>
        <v>0x00</v>
      </c>
      <c r="L11" s="58" t="str">
        <f t="shared" si="4"/>
        <v>0x43</v>
      </c>
      <c r="M11" s="59">
        <v>1.0</v>
      </c>
      <c r="N11" s="59" t="str">
        <f t="shared" si="5"/>
        <v>0xD255</v>
      </c>
      <c r="O11" s="71" t="str">
        <f t="shared" si="6"/>
        <v>0x00</v>
      </c>
      <c r="P11" s="71" t="str">
        <f t="shared" si="7"/>
        <v>0x00</v>
      </c>
      <c r="Q11" s="71" t="str">
        <f t="shared" si="8"/>
        <v>0x00</v>
      </c>
      <c r="R11" s="59"/>
      <c r="S11" s="84"/>
      <c r="T11" s="84"/>
      <c r="U11" s="84"/>
      <c r="V11" s="63"/>
      <c r="W11" s="63"/>
      <c r="X11" s="63"/>
      <c r="Y11" s="63"/>
      <c r="Z11" s="63"/>
      <c r="AA11" s="63"/>
      <c r="AB11" s="63"/>
      <c r="AC11" s="63"/>
      <c r="AD11" s="63"/>
      <c r="AE11" s="63"/>
      <c r="AF11" s="63"/>
      <c r="AG11" s="63"/>
      <c r="AH11" s="63"/>
      <c r="AI11" s="63"/>
      <c r="AJ11" s="63"/>
      <c r="AK11" s="63"/>
      <c r="AL11" s="63"/>
      <c r="AM11" s="63"/>
      <c r="AN11" s="66"/>
    </row>
    <row r="12">
      <c r="A12" s="33" t="str">
        <f t="shared" si="1"/>
        <v>E90D</v>
      </c>
      <c r="B12" s="34" t="str">
        <f>IFERROR(__xludf.DUMMYFUNCTION("REGEXREPLACE($H12, ""(?i)^8301(E000|E100|E200|E300)?"", """")"),"E90D0048D255004B69D25822323078")</f>
        <v>E90D0048D255004B69D25822323078</v>
      </c>
      <c r="C12" s="36" t="s">
        <v>198</v>
      </c>
      <c r="D12" s="36" t="s">
        <v>485</v>
      </c>
      <c r="E12" s="36" t="s">
        <v>106</v>
      </c>
      <c r="F12" s="36" t="s">
        <v>107</v>
      </c>
      <c r="G12" s="37">
        <v>46220.0</v>
      </c>
      <c r="H12" s="38" t="s">
        <v>269</v>
      </c>
      <c r="I12" s="36"/>
      <c r="J12" s="39" t="str">
        <f t="shared" si="2"/>
        <v>0x0D</v>
      </c>
      <c r="K12" s="40" t="str">
        <f t="shared" si="3"/>
        <v>0x00</v>
      </c>
      <c r="L12" s="40" t="str">
        <f t="shared" si="4"/>
        <v>0x48</v>
      </c>
      <c r="M12" s="169">
        <v>2.0</v>
      </c>
      <c r="N12" s="78" t="str">
        <f t="shared" si="5"/>
        <v>0xD255</v>
      </c>
      <c r="O12" s="72" t="str">
        <f t="shared" si="6"/>
        <v>0x00</v>
      </c>
      <c r="P12" s="72" t="str">
        <f t="shared" si="7"/>
        <v>0x4B</v>
      </c>
      <c r="Q12" s="72" t="str">
        <f t="shared" si="8"/>
        <v>0x69</v>
      </c>
      <c r="R12" s="78" t="str">
        <f t="shared" ref="R12:R22" si="9">"0x"&amp;MID($B12,19,4)</f>
        <v>0xD258</v>
      </c>
      <c r="S12" s="72" t="str">
        <f t="shared" ref="S12:S22" si="10">"0x"&amp;MID($B12,23,2)</f>
        <v>0x22</v>
      </c>
      <c r="T12" s="72" t="str">
        <f t="shared" ref="T12:T22" si="11">"0x"&amp;MID($B12,25,2)</f>
        <v>0x32</v>
      </c>
      <c r="U12" s="72" t="str">
        <f t="shared" ref="U12:U22" si="12">"0x"&amp;MID($B12,27,2)</f>
        <v>0x30</v>
      </c>
      <c r="V12" s="73">
        <v>29.0</v>
      </c>
      <c r="W12" s="47" t="str">
        <f t="shared" ref="W12:W22" si="13">"0x" &amp; MID($B12,$V12  + 2*(COLUMN() - COLUMN($W12)), 2)</f>
        <v>0x78</v>
      </c>
      <c r="X12" s="40"/>
      <c r="Y12" s="40"/>
      <c r="Z12" s="40"/>
      <c r="AA12" s="40"/>
      <c r="AB12" s="40"/>
      <c r="AC12" s="40"/>
      <c r="AD12" s="40"/>
      <c r="AE12" s="40"/>
      <c r="AF12" s="40"/>
      <c r="AG12" s="40"/>
      <c r="AH12" s="40"/>
      <c r="AI12" s="40"/>
      <c r="AJ12" s="40"/>
      <c r="AK12" s="40"/>
      <c r="AL12" s="40"/>
      <c r="AM12" s="40"/>
      <c r="AN12" s="75"/>
    </row>
    <row r="13">
      <c r="A13" s="51" t="str">
        <f t="shared" si="1"/>
        <v>E90D</v>
      </c>
      <c r="B13" s="52" t="str">
        <f>IFERROR(__xludf.DUMMYFUNCTION("REGEXREPLACE($H13, ""(?i)^8301(E000|E100|E200|E300)?"", """")"),"E90D004FD255004604D25800000678")</f>
        <v>E90D004FD255004604D25800000678</v>
      </c>
      <c r="C13" s="65" t="s">
        <v>198</v>
      </c>
      <c r="D13" s="65" t="s">
        <v>519</v>
      </c>
      <c r="E13" s="65" t="s">
        <v>106</v>
      </c>
      <c r="F13" s="65" t="s">
        <v>107</v>
      </c>
      <c r="G13" s="67">
        <v>46220.0</v>
      </c>
      <c r="H13" s="68" t="s">
        <v>270</v>
      </c>
      <c r="I13" s="65"/>
      <c r="J13" s="57" t="str">
        <f t="shared" si="2"/>
        <v>0x0D</v>
      </c>
      <c r="K13" s="58" t="str">
        <f t="shared" si="3"/>
        <v>0x00</v>
      </c>
      <c r="L13" s="58" t="str">
        <f t="shared" si="4"/>
        <v>0x4F</v>
      </c>
      <c r="M13" s="170">
        <v>2.0</v>
      </c>
      <c r="N13" s="83" t="str">
        <f t="shared" si="5"/>
        <v>0xD255</v>
      </c>
      <c r="O13" s="84" t="str">
        <f t="shared" si="6"/>
        <v>0x00</v>
      </c>
      <c r="P13" s="84" t="str">
        <f t="shared" si="7"/>
        <v>0x46</v>
      </c>
      <c r="Q13" s="84" t="str">
        <f t="shared" si="8"/>
        <v>0x04</v>
      </c>
      <c r="R13" s="83" t="str">
        <f t="shared" si="9"/>
        <v>0xD258</v>
      </c>
      <c r="S13" s="84" t="str">
        <f t="shared" si="10"/>
        <v>0x00</v>
      </c>
      <c r="T13" s="84" t="str">
        <f t="shared" si="11"/>
        <v>0x00</v>
      </c>
      <c r="U13" s="84" t="str">
        <f t="shared" si="12"/>
        <v>0x06</v>
      </c>
      <c r="V13" s="90">
        <v>29.0</v>
      </c>
      <c r="W13" s="62" t="str">
        <f t="shared" si="13"/>
        <v>0x78</v>
      </c>
      <c r="X13" s="58"/>
      <c r="Y13" s="58"/>
      <c r="Z13" s="58"/>
      <c r="AA13" s="58"/>
      <c r="AB13" s="58"/>
      <c r="AC13" s="58"/>
      <c r="AD13" s="58"/>
      <c r="AE13" s="58"/>
      <c r="AF13" s="58"/>
      <c r="AG13" s="58"/>
      <c r="AH13" s="58"/>
      <c r="AI13" s="58"/>
      <c r="AJ13" s="58"/>
      <c r="AK13" s="58"/>
      <c r="AL13" s="58"/>
      <c r="AM13" s="58"/>
      <c r="AN13" s="88"/>
    </row>
    <row r="14">
      <c r="A14" s="33" t="str">
        <f t="shared" si="1"/>
        <v>E90D</v>
      </c>
      <c r="B14" s="34" t="str">
        <f>IFERROR(__xludf.DUMMYFUNCTION("REGEXREPLACE($H14, ""(?i)^8301(E000|E100|E200|E300)?"", """")"),"E90D004FD2555D63FCD2580000FC78")</f>
        <v>E90D004FD2555D63FCD2580000FC78</v>
      </c>
      <c r="C14" s="36" t="s">
        <v>198</v>
      </c>
      <c r="D14" s="36" t="s">
        <v>485</v>
      </c>
      <c r="E14" s="36" t="s">
        <v>106</v>
      </c>
      <c r="F14" s="36" t="s">
        <v>107</v>
      </c>
      <c r="G14" s="37">
        <v>46220.0</v>
      </c>
      <c r="H14" s="38" t="s">
        <v>271</v>
      </c>
      <c r="I14" s="36"/>
      <c r="J14" s="39" t="str">
        <f t="shared" si="2"/>
        <v>0x0D</v>
      </c>
      <c r="K14" s="40" t="str">
        <f t="shared" si="3"/>
        <v>0x00</v>
      </c>
      <c r="L14" s="40" t="str">
        <f t="shared" si="4"/>
        <v>0x4F</v>
      </c>
      <c r="M14" s="169">
        <v>2.0</v>
      </c>
      <c r="N14" s="78" t="str">
        <f t="shared" si="5"/>
        <v>0xD255</v>
      </c>
      <c r="O14" s="72" t="str">
        <f t="shared" si="6"/>
        <v>0x5D</v>
      </c>
      <c r="P14" s="72" t="str">
        <f t="shared" si="7"/>
        <v>0x63</v>
      </c>
      <c r="Q14" s="72" t="str">
        <f t="shared" si="8"/>
        <v>0xFC</v>
      </c>
      <c r="R14" s="78" t="str">
        <f t="shared" si="9"/>
        <v>0xD258</v>
      </c>
      <c r="S14" s="72" t="str">
        <f t="shared" si="10"/>
        <v>0x00</v>
      </c>
      <c r="T14" s="72" t="str">
        <f t="shared" si="11"/>
        <v>0x00</v>
      </c>
      <c r="U14" s="72" t="str">
        <f t="shared" si="12"/>
        <v>0xFC</v>
      </c>
      <c r="V14" s="73">
        <v>29.0</v>
      </c>
      <c r="W14" s="47" t="str">
        <f t="shared" si="13"/>
        <v>0x78</v>
      </c>
      <c r="X14" s="40"/>
      <c r="Y14" s="40"/>
      <c r="Z14" s="40"/>
      <c r="AA14" s="40"/>
      <c r="AB14" s="40"/>
      <c r="AC14" s="40"/>
      <c r="AD14" s="40"/>
      <c r="AE14" s="40"/>
      <c r="AF14" s="40"/>
      <c r="AG14" s="40"/>
      <c r="AH14" s="40"/>
      <c r="AI14" s="40"/>
      <c r="AJ14" s="40"/>
      <c r="AK14" s="40"/>
      <c r="AL14" s="40"/>
      <c r="AM14" s="40"/>
      <c r="AN14" s="75"/>
    </row>
    <row r="15">
      <c r="A15" s="51" t="str">
        <f t="shared" si="1"/>
        <v>E90D</v>
      </c>
      <c r="B15" s="52" t="str">
        <f>IFERROR(__xludf.DUMMYFUNCTION("REGEXREPLACE($H15, ""(?i)^8301(E000|E100|E200|E300)?"", """")"),"E90D005FD255FC6E1ED25800000078")</f>
        <v>E90D005FD255FC6E1ED25800000078</v>
      </c>
      <c r="C15" s="65" t="s">
        <v>198</v>
      </c>
      <c r="D15" s="65" t="s">
        <v>485</v>
      </c>
      <c r="E15" s="65" t="s">
        <v>106</v>
      </c>
      <c r="F15" s="65" t="s">
        <v>107</v>
      </c>
      <c r="G15" s="67">
        <v>46220.0</v>
      </c>
      <c r="H15" s="68" t="s">
        <v>272</v>
      </c>
      <c r="I15" s="65"/>
      <c r="J15" s="57" t="str">
        <f t="shared" si="2"/>
        <v>0x0D</v>
      </c>
      <c r="K15" s="58" t="str">
        <f t="shared" si="3"/>
        <v>0x00</v>
      </c>
      <c r="L15" s="58" t="str">
        <f t="shared" si="4"/>
        <v>0x5F</v>
      </c>
      <c r="M15" s="170">
        <v>2.0</v>
      </c>
      <c r="N15" s="83" t="str">
        <f t="shared" si="5"/>
        <v>0xD255</v>
      </c>
      <c r="O15" s="84" t="str">
        <f t="shared" si="6"/>
        <v>0xFC</v>
      </c>
      <c r="P15" s="84" t="str">
        <f t="shared" si="7"/>
        <v>0x6E</v>
      </c>
      <c r="Q15" s="84" t="str">
        <f t="shared" si="8"/>
        <v>0x1E</v>
      </c>
      <c r="R15" s="83" t="str">
        <f t="shared" si="9"/>
        <v>0xD258</v>
      </c>
      <c r="S15" s="84" t="str">
        <f t="shared" si="10"/>
        <v>0x00</v>
      </c>
      <c r="T15" s="84" t="str">
        <f t="shared" si="11"/>
        <v>0x00</v>
      </c>
      <c r="U15" s="84" t="str">
        <f t="shared" si="12"/>
        <v>0x00</v>
      </c>
      <c r="V15" s="90">
        <v>29.0</v>
      </c>
      <c r="W15" s="62" t="str">
        <f t="shared" si="13"/>
        <v>0x78</v>
      </c>
      <c r="X15" s="58"/>
      <c r="Y15" s="58"/>
      <c r="Z15" s="58"/>
      <c r="AA15" s="58"/>
      <c r="AB15" s="58"/>
      <c r="AC15" s="58"/>
      <c r="AD15" s="58"/>
      <c r="AE15" s="58"/>
      <c r="AF15" s="58"/>
      <c r="AG15" s="58"/>
      <c r="AH15" s="58"/>
      <c r="AI15" s="58"/>
      <c r="AJ15" s="58"/>
      <c r="AK15" s="58"/>
      <c r="AL15" s="58"/>
      <c r="AM15" s="58"/>
      <c r="AN15" s="88"/>
    </row>
    <row r="16">
      <c r="A16" s="33" t="str">
        <f t="shared" si="1"/>
        <v>E90D</v>
      </c>
      <c r="B16" s="34" t="str">
        <f>IFERROR(__xludf.DUMMYFUNCTION("REGEXREPLACE($H16, ""(?i)^8301(E000|E100|E200|E300)?"", """")"),"E90D0064D255FC0000D25864420078")</f>
        <v>E90D0064D255FC0000D25864420078</v>
      </c>
      <c r="C16" s="36" t="s">
        <v>198</v>
      </c>
      <c r="D16" s="36" t="s">
        <v>485</v>
      </c>
      <c r="E16" s="36" t="s">
        <v>106</v>
      </c>
      <c r="F16" s="36" t="s">
        <v>107</v>
      </c>
      <c r="G16" s="37">
        <v>46220.0</v>
      </c>
      <c r="H16" s="38" t="s">
        <v>273</v>
      </c>
      <c r="I16" s="36"/>
      <c r="J16" s="39" t="str">
        <f t="shared" si="2"/>
        <v>0x0D</v>
      </c>
      <c r="K16" s="40" t="str">
        <f t="shared" si="3"/>
        <v>0x00</v>
      </c>
      <c r="L16" s="40" t="str">
        <f t="shared" si="4"/>
        <v>0x64</v>
      </c>
      <c r="M16" s="169">
        <v>2.0</v>
      </c>
      <c r="N16" s="78" t="str">
        <f t="shared" si="5"/>
        <v>0xD255</v>
      </c>
      <c r="O16" s="72" t="str">
        <f t="shared" si="6"/>
        <v>0xFC</v>
      </c>
      <c r="P16" s="72" t="str">
        <f t="shared" si="7"/>
        <v>0x00</v>
      </c>
      <c r="Q16" s="72" t="str">
        <f t="shared" si="8"/>
        <v>0x00</v>
      </c>
      <c r="R16" s="78" t="str">
        <f t="shared" si="9"/>
        <v>0xD258</v>
      </c>
      <c r="S16" s="72" t="str">
        <f t="shared" si="10"/>
        <v>0x64</v>
      </c>
      <c r="T16" s="72" t="str">
        <f t="shared" si="11"/>
        <v>0x42</v>
      </c>
      <c r="U16" s="72" t="str">
        <f t="shared" si="12"/>
        <v>0x00</v>
      </c>
      <c r="V16" s="73">
        <v>29.0</v>
      </c>
      <c r="W16" s="47" t="str">
        <f t="shared" si="13"/>
        <v>0x78</v>
      </c>
      <c r="X16" s="40"/>
      <c r="Y16" s="40"/>
      <c r="Z16" s="40"/>
      <c r="AA16" s="40"/>
      <c r="AB16" s="40"/>
      <c r="AC16" s="40"/>
      <c r="AD16" s="40"/>
      <c r="AE16" s="40"/>
      <c r="AF16" s="40"/>
      <c r="AG16" s="40"/>
      <c r="AH16" s="40"/>
      <c r="AI16" s="40"/>
      <c r="AJ16" s="40"/>
      <c r="AK16" s="40"/>
      <c r="AL16" s="40"/>
      <c r="AM16" s="40"/>
      <c r="AN16" s="75"/>
    </row>
    <row r="17">
      <c r="A17" s="51" t="str">
        <f t="shared" si="1"/>
        <v>E90D</v>
      </c>
      <c r="B17" s="52" t="str">
        <f>IFERROR(__xludf.DUMMYFUNCTION("REGEXREPLACE($H17, ""(?i)^8301(E000|E100|E200|E300)?"", """")"),"E90D0066D255FC4800D2580000FC78")</f>
        <v>E90D0066D255FC4800D2580000FC78</v>
      </c>
      <c r="C17" s="65" t="s">
        <v>198</v>
      </c>
      <c r="D17" s="65" t="s">
        <v>485</v>
      </c>
      <c r="E17" s="65" t="s">
        <v>106</v>
      </c>
      <c r="F17" s="65" t="s">
        <v>107</v>
      </c>
      <c r="G17" s="67">
        <v>46220.0</v>
      </c>
      <c r="H17" s="68" t="s">
        <v>274</v>
      </c>
      <c r="I17" s="65"/>
      <c r="J17" s="57" t="str">
        <f t="shared" si="2"/>
        <v>0x0D</v>
      </c>
      <c r="K17" s="58" t="str">
        <f t="shared" si="3"/>
        <v>0x00</v>
      </c>
      <c r="L17" s="58" t="str">
        <f t="shared" si="4"/>
        <v>0x66</v>
      </c>
      <c r="M17" s="170">
        <v>2.0</v>
      </c>
      <c r="N17" s="83" t="str">
        <f t="shared" si="5"/>
        <v>0xD255</v>
      </c>
      <c r="O17" s="84" t="str">
        <f t="shared" si="6"/>
        <v>0xFC</v>
      </c>
      <c r="P17" s="84" t="str">
        <f t="shared" si="7"/>
        <v>0x48</v>
      </c>
      <c r="Q17" s="84" t="str">
        <f t="shared" si="8"/>
        <v>0x00</v>
      </c>
      <c r="R17" s="83" t="str">
        <f t="shared" si="9"/>
        <v>0xD258</v>
      </c>
      <c r="S17" s="84" t="str">
        <f t="shared" si="10"/>
        <v>0x00</v>
      </c>
      <c r="T17" s="84" t="str">
        <f t="shared" si="11"/>
        <v>0x00</v>
      </c>
      <c r="U17" s="84" t="str">
        <f t="shared" si="12"/>
        <v>0xFC</v>
      </c>
      <c r="V17" s="90">
        <v>29.0</v>
      </c>
      <c r="W17" s="62" t="str">
        <f t="shared" si="13"/>
        <v>0x78</v>
      </c>
      <c r="X17" s="58"/>
      <c r="Y17" s="58"/>
      <c r="Z17" s="58"/>
      <c r="AA17" s="58"/>
      <c r="AB17" s="58"/>
      <c r="AC17" s="58"/>
      <c r="AD17" s="58"/>
      <c r="AE17" s="58"/>
      <c r="AF17" s="58"/>
      <c r="AG17" s="58"/>
      <c r="AH17" s="58"/>
      <c r="AI17" s="58"/>
      <c r="AJ17" s="58"/>
      <c r="AK17" s="58"/>
      <c r="AL17" s="58"/>
      <c r="AM17" s="58"/>
      <c r="AN17" s="88"/>
    </row>
    <row r="18">
      <c r="A18" s="33" t="str">
        <f t="shared" si="1"/>
        <v>E90D</v>
      </c>
      <c r="B18" s="34" t="str">
        <f>IFERROR(__xludf.DUMMYFUNCTION("REGEXREPLACE($H18, ""(?i)^8301(E000|E100|E200|E300)?"", """")"),"E90D0067D2552B2E00D2582400FC78")</f>
        <v>E90D0067D2552B2E00D2582400FC78</v>
      </c>
      <c r="C18" s="36" t="s">
        <v>198</v>
      </c>
      <c r="D18" s="36" t="s">
        <v>485</v>
      </c>
      <c r="E18" s="36" t="s">
        <v>106</v>
      </c>
      <c r="F18" s="36" t="s">
        <v>107</v>
      </c>
      <c r="G18" s="37">
        <v>46220.0</v>
      </c>
      <c r="H18" s="38" t="s">
        <v>275</v>
      </c>
      <c r="I18" s="36"/>
      <c r="J18" s="39" t="str">
        <f t="shared" si="2"/>
        <v>0x0D</v>
      </c>
      <c r="K18" s="40" t="str">
        <f t="shared" si="3"/>
        <v>0x00</v>
      </c>
      <c r="L18" s="40" t="str">
        <f t="shared" si="4"/>
        <v>0x67</v>
      </c>
      <c r="M18" s="169">
        <v>2.0</v>
      </c>
      <c r="N18" s="78" t="str">
        <f t="shared" si="5"/>
        <v>0xD255</v>
      </c>
      <c r="O18" s="72" t="str">
        <f t="shared" si="6"/>
        <v>0x2B</v>
      </c>
      <c r="P18" s="72" t="str">
        <f t="shared" si="7"/>
        <v>0x2E</v>
      </c>
      <c r="Q18" s="72" t="str">
        <f t="shared" si="8"/>
        <v>0x00</v>
      </c>
      <c r="R18" s="78" t="str">
        <f t="shared" si="9"/>
        <v>0xD258</v>
      </c>
      <c r="S18" s="72" t="str">
        <f t="shared" si="10"/>
        <v>0x24</v>
      </c>
      <c r="T18" s="72" t="str">
        <f t="shared" si="11"/>
        <v>0x00</v>
      </c>
      <c r="U18" s="72" t="str">
        <f t="shared" si="12"/>
        <v>0xFC</v>
      </c>
      <c r="V18" s="73">
        <v>29.0</v>
      </c>
      <c r="W18" s="47" t="str">
        <f t="shared" si="13"/>
        <v>0x78</v>
      </c>
      <c r="X18" s="40"/>
      <c r="Y18" s="40"/>
      <c r="Z18" s="40"/>
      <c r="AA18" s="40"/>
      <c r="AB18" s="40"/>
      <c r="AC18" s="40"/>
      <c r="AD18" s="40"/>
      <c r="AE18" s="40"/>
      <c r="AF18" s="40"/>
      <c r="AG18" s="40"/>
      <c r="AH18" s="40"/>
      <c r="AI18" s="40"/>
      <c r="AJ18" s="40"/>
      <c r="AK18" s="40"/>
      <c r="AL18" s="40"/>
      <c r="AM18" s="40"/>
      <c r="AN18" s="75"/>
    </row>
    <row r="19">
      <c r="A19" s="51" t="str">
        <f t="shared" si="1"/>
        <v>E90D</v>
      </c>
      <c r="B19" s="52" t="str">
        <f>IFERROR(__xludf.DUMMYFUNCTION("REGEXREPLACE($H19, ""(?i)^8301(E000|E100|E200|E300)?"", """")"),"E90D006AD255FC0000D25800FC0078")</f>
        <v>E90D006AD255FC0000D25800FC0078</v>
      </c>
      <c r="C19" s="65" t="s">
        <v>198</v>
      </c>
      <c r="D19" s="65" t="s">
        <v>485</v>
      </c>
      <c r="E19" s="65" t="s">
        <v>106</v>
      </c>
      <c r="F19" s="65" t="s">
        <v>107</v>
      </c>
      <c r="G19" s="67">
        <v>46220.0</v>
      </c>
      <c r="H19" s="68" t="s">
        <v>276</v>
      </c>
      <c r="I19" s="65"/>
      <c r="J19" s="57" t="str">
        <f t="shared" si="2"/>
        <v>0x0D</v>
      </c>
      <c r="K19" s="58" t="str">
        <f t="shared" si="3"/>
        <v>0x00</v>
      </c>
      <c r="L19" s="58" t="str">
        <f t="shared" si="4"/>
        <v>0x6A</v>
      </c>
      <c r="M19" s="170">
        <v>2.0</v>
      </c>
      <c r="N19" s="83" t="str">
        <f t="shared" si="5"/>
        <v>0xD255</v>
      </c>
      <c r="O19" s="84" t="str">
        <f t="shared" si="6"/>
        <v>0xFC</v>
      </c>
      <c r="P19" s="84" t="str">
        <f t="shared" si="7"/>
        <v>0x00</v>
      </c>
      <c r="Q19" s="84" t="str">
        <f t="shared" si="8"/>
        <v>0x00</v>
      </c>
      <c r="R19" s="83" t="str">
        <f t="shared" si="9"/>
        <v>0xD258</v>
      </c>
      <c r="S19" s="84" t="str">
        <f t="shared" si="10"/>
        <v>0x00</v>
      </c>
      <c r="T19" s="84" t="str">
        <f t="shared" si="11"/>
        <v>0xFC</v>
      </c>
      <c r="U19" s="84" t="str">
        <f t="shared" si="12"/>
        <v>0x00</v>
      </c>
      <c r="V19" s="90">
        <v>29.0</v>
      </c>
      <c r="W19" s="62" t="str">
        <f t="shared" si="13"/>
        <v>0x78</v>
      </c>
      <c r="X19" s="58"/>
      <c r="Y19" s="58"/>
      <c r="Z19" s="58"/>
      <c r="AA19" s="58"/>
      <c r="AB19" s="58"/>
      <c r="AC19" s="58"/>
      <c r="AD19" s="58"/>
      <c r="AE19" s="58"/>
      <c r="AF19" s="58"/>
      <c r="AG19" s="58"/>
      <c r="AH19" s="58"/>
      <c r="AI19" s="58"/>
      <c r="AJ19" s="58"/>
      <c r="AK19" s="58"/>
      <c r="AL19" s="58"/>
      <c r="AM19" s="58"/>
      <c r="AN19" s="88"/>
    </row>
    <row r="20">
      <c r="A20" s="33" t="str">
        <f t="shared" si="1"/>
        <v>E90D</v>
      </c>
      <c r="B20" s="34" t="str">
        <f>IFERROR(__xludf.DUMMYFUNCTION("REGEXREPLACE($H20, ""(?i)^8301(E000|E100|E200|E300)?"", """")"),"E90D006CD255203231D25800006478")</f>
        <v>E90D006CD255203231D25800006478</v>
      </c>
      <c r="C20" s="36" t="s">
        <v>198</v>
      </c>
      <c r="D20" s="36" t="s">
        <v>485</v>
      </c>
      <c r="E20" s="36" t="s">
        <v>106</v>
      </c>
      <c r="F20" s="36" t="s">
        <v>107</v>
      </c>
      <c r="G20" s="37">
        <v>46220.0</v>
      </c>
      <c r="H20" s="38" t="s">
        <v>277</v>
      </c>
      <c r="I20" s="36"/>
      <c r="J20" s="39" t="str">
        <f t="shared" si="2"/>
        <v>0x0D</v>
      </c>
      <c r="K20" s="40" t="str">
        <f t="shared" si="3"/>
        <v>0x00</v>
      </c>
      <c r="L20" s="40" t="str">
        <f t="shared" si="4"/>
        <v>0x6C</v>
      </c>
      <c r="M20" s="169">
        <v>2.0</v>
      </c>
      <c r="N20" s="78" t="str">
        <f t="shared" si="5"/>
        <v>0xD255</v>
      </c>
      <c r="O20" s="72" t="str">
        <f t="shared" si="6"/>
        <v>0x20</v>
      </c>
      <c r="P20" s="72" t="str">
        <f t="shared" si="7"/>
        <v>0x32</v>
      </c>
      <c r="Q20" s="72" t="str">
        <f t="shared" si="8"/>
        <v>0x31</v>
      </c>
      <c r="R20" s="78" t="str">
        <f t="shared" si="9"/>
        <v>0xD258</v>
      </c>
      <c r="S20" s="72" t="str">
        <f t="shared" si="10"/>
        <v>0x00</v>
      </c>
      <c r="T20" s="72" t="str">
        <f t="shared" si="11"/>
        <v>0x00</v>
      </c>
      <c r="U20" s="72" t="str">
        <f t="shared" si="12"/>
        <v>0x64</v>
      </c>
      <c r="V20" s="73">
        <v>29.0</v>
      </c>
      <c r="W20" s="47" t="str">
        <f t="shared" si="13"/>
        <v>0x78</v>
      </c>
      <c r="X20" s="40"/>
      <c r="Y20" s="40"/>
      <c r="Z20" s="40"/>
      <c r="AA20" s="40"/>
      <c r="AB20" s="40"/>
      <c r="AC20" s="40"/>
      <c r="AD20" s="40"/>
      <c r="AE20" s="40"/>
      <c r="AF20" s="40"/>
      <c r="AG20" s="40"/>
      <c r="AH20" s="40"/>
      <c r="AI20" s="40"/>
      <c r="AJ20" s="40"/>
      <c r="AK20" s="40"/>
      <c r="AL20" s="40"/>
      <c r="AM20" s="40"/>
      <c r="AN20" s="75"/>
    </row>
    <row r="21">
      <c r="A21" s="51" t="str">
        <f t="shared" si="1"/>
        <v>E90D</v>
      </c>
      <c r="B21" s="52" t="str">
        <f>IFERROR(__xludf.DUMMYFUNCTION("REGEXREPLACE($H21, ""(?i)^8301(E000|E100|E200|E300)?"", """")"),"E90D007AD25500FCFCD25856004178")</f>
        <v>E90D007AD25500FCFCD25856004178</v>
      </c>
      <c r="C21" s="65" t="s">
        <v>198</v>
      </c>
      <c r="D21" s="65" t="s">
        <v>485</v>
      </c>
      <c r="E21" s="65" t="s">
        <v>106</v>
      </c>
      <c r="F21" s="65" t="s">
        <v>107</v>
      </c>
      <c r="G21" s="67">
        <v>46220.0</v>
      </c>
      <c r="H21" s="68" t="s">
        <v>278</v>
      </c>
      <c r="I21" s="65"/>
      <c r="J21" s="57" t="str">
        <f t="shared" si="2"/>
        <v>0x0D</v>
      </c>
      <c r="K21" s="58" t="str">
        <f t="shared" si="3"/>
        <v>0x00</v>
      </c>
      <c r="L21" s="58" t="str">
        <f t="shared" si="4"/>
        <v>0x7A</v>
      </c>
      <c r="M21" s="170">
        <v>2.0</v>
      </c>
      <c r="N21" s="83" t="str">
        <f t="shared" si="5"/>
        <v>0xD255</v>
      </c>
      <c r="O21" s="84" t="str">
        <f t="shared" si="6"/>
        <v>0x00</v>
      </c>
      <c r="P21" s="84" t="str">
        <f t="shared" si="7"/>
        <v>0xFC</v>
      </c>
      <c r="Q21" s="84" t="str">
        <f t="shared" si="8"/>
        <v>0xFC</v>
      </c>
      <c r="R21" s="83" t="str">
        <f t="shared" si="9"/>
        <v>0xD258</v>
      </c>
      <c r="S21" s="84" t="str">
        <f t="shared" si="10"/>
        <v>0x56</v>
      </c>
      <c r="T21" s="84" t="str">
        <f t="shared" si="11"/>
        <v>0x00</v>
      </c>
      <c r="U21" s="84" t="str">
        <f t="shared" si="12"/>
        <v>0x41</v>
      </c>
      <c r="V21" s="90">
        <v>29.0</v>
      </c>
      <c r="W21" s="62" t="str">
        <f t="shared" si="13"/>
        <v>0x78</v>
      </c>
      <c r="X21" s="58"/>
      <c r="Y21" s="58"/>
      <c r="Z21" s="58"/>
      <c r="AA21" s="58"/>
      <c r="AB21" s="58"/>
      <c r="AC21" s="58"/>
      <c r="AD21" s="58"/>
      <c r="AE21" s="58"/>
      <c r="AF21" s="58"/>
      <c r="AG21" s="58"/>
      <c r="AH21" s="58"/>
      <c r="AI21" s="58"/>
      <c r="AJ21" s="58"/>
      <c r="AK21" s="58"/>
      <c r="AL21" s="58"/>
      <c r="AM21" s="58"/>
      <c r="AN21" s="88"/>
    </row>
    <row r="22">
      <c r="A22" s="33" t="str">
        <f t="shared" si="1"/>
        <v>E90E</v>
      </c>
      <c r="B22" s="34" t="str">
        <f>IFERROR(__xludf.DUMMYFUNCTION("REGEXREPLACE($H22, ""(?i)^8301(E000|E100|E200|E300)?"", """")"),"E90E0011D255000000D25800000078B0")</f>
        <v>E90E0011D255000000D25800000078B0</v>
      </c>
      <c r="C22" s="36" t="s">
        <v>198</v>
      </c>
      <c r="D22" s="35"/>
      <c r="E22" s="36" t="s">
        <v>75</v>
      </c>
      <c r="F22" s="36" t="s">
        <v>120</v>
      </c>
      <c r="G22" s="37">
        <v>46219.0</v>
      </c>
      <c r="H22" s="38" t="s">
        <v>297</v>
      </c>
      <c r="I22" s="36"/>
      <c r="J22" s="39" t="str">
        <f t="shared" si="2"/>
        <v>0x0E</v>
      </c>
      <c r="K22" s="40" t="str">
        <f t="shared" si="3"/>
        <v>0x00</v>
      </c>
      <c r="L22" s="40" t="str">
        <f t="shared" si="4"/>
        <v>0x11</v>
      </c>
      <c r="M22" s="169">
        <v>2.0</v>
      </c>
      <c r="N22" s="78" t="str">
        <f t="shared" si="5"/>
        <v>0xD255</v>
      </c>
      <c r="O22" s="72" t="str">
        <f t="shared" si="6"/>
        <v>0x00</v>
      </c>
      <c r="P22" s="72" t="str">
        <f t="shared" si="7"/>
        <v>0x00</v>
      </c>
      <c r="Q22" s="72" t="str">
        <f t="shared" si="8"/>
        <v>0x00</v>
      </c>
      <c r="R22" s="78" t="str">
        <f t="shared" si="9"/>
        <v>0xD258</v>
      </c>
      <c r="S22" s="72" t="str">
        <f t="shared" si="10"/>
        <v>0x00</v>
      </c>
      <c r="T22" s="72" t="str">
        <f t="shared" si="11"/>
        <v>0x00</v>
      </c>
      <c r="U22" s="72" t="str">
        <f t="shared" si="12"/>
        <v>0x00</v>
      </c>
      <c r="V22" s="73">
        <v>29.0</v>
      </c>
      <c r="W22" s="47" t="str">
        <f t="shared" si="13"/>
        <v>0x78</v>
      </c>
      <c r="X22" s="40"/>
      <c r="Y22" s="40"/>
      <c r="Z22" s="40"/>
      <c r="AA22" s="40"/>
      <c r="AB22" s="40"/>
      <c r="AC22" s="40"/>
      <c r="AD22" s="40"/>
      <c r="AE22" s="40"/>
      <c r="AF22" s="40"/>
      <c r="AG22" s="40"/>
      <c r="AH22" s="40"/>
      <c r="AI22" s="40"/>
      <c r="AJ22" s="40"/>
      <c r="AK22" s="40"/>
      <c r="AL22" s="40"/>
      <c r="AM22" s="40"/>
      <c r="AN22" s="75" t="str">
        <f>"0x"&amp;MID($B22,31,2)</f>
        <v>0xB0</v>
      </c>
    </row>
  </sheetData>
  <autoFilter ref="$A$1:$AN$22">
    <sortState ref="A1:AN22">
      <sortCondition ref="C1:C22"/>
      <sortCondition ref="B1:B22"/>
      <sortCondition ref="N1:N22"/>
      <sortCondition ref="W1:W22"/>
    </sortState>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hidden="1" min="5" max="5" width="10.5"/>
    <col customWidth="1" hidden="1" min="6" max="6" width="14.75"/>
    <col customWidth="1" hidden="1" min="7" max="7" width="9.5"/>
    <col customWidth="1" hidden="1" min="8" max="8" width="53.0"/>
    <col customWidth="1" hidden="1" min="9" max="9" width="12.63"/>
    <col customWidth="1" min="10" max="10" width="9.0"/>
    <col customWidth="1" min="11" max="11" width="5.88"/>
    <col customWidth="1" min="12" max="12" width="5.75"/>
    <col customWidth="1" min="13" max="13" width="4.38"/>
    <col customWidth="1" hidden="1" min="14" max="14" width="7.0"/>
    <col customWidth="1" min="15" max="15" width="5.63"/>
    <col customWidth="1" hidden="1" min="16" max="17" width="5.63"/>
    <col customWidth="1" hidden="1" min="18" max="18" width="7.0"/>
    <col customWidth="1" hidden="1" min="19" max="21" width="5.63"/>
    <col customWidth="1" min="22" max="22" width="7.25"/>
    <col customWidth="1" min="23" max="26" width="6.38"/>
    <col customWidth="1" hidden="1" min="27" max="33" width="6.38"/>
    <col customWidth="1" hidden="1" min="34" max="34" width="6.25"/>
    <col customWidth="1" hidden="1" min="35" max="39" width="6.38"/>
    <col customWidth="1" hidden="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c r="A2" s="33" t="str">
        <f t="shared" ref="A2:A4" si="2">LEFT($B2, 4)</f>
        <v>CD07</v>
      </c>
      <c r="B2" s="34" t="str">
        <f>IFERROR(__xludf.DUMMYFUNCTION("REGEXREPLACE($H2, ""(?i)^8301(E000|E100|E200|E300)?"", """")"),"CD070E071C08000000")</f>
        <v>CD070E071C08000000</v>
      </c>
      <c r="C2" s="36" t="s">
        <v>114</v>
      </c>
      <c r="D2" s="35"/>
      <c r="E2" s="36" t="s">
        <v>75</v>
      </c>
      <c r="F2" s="36" t="s">
        <v>76</v>
      </c>
      <c r="G2" s="37">
        <v>46208.0</v>
      </c>
      <c r="H2" s="38" t="s">
        <v>72</v>
      </c>
      <c r="I2" s="35"/>
      <c r="J2" s="39" t="str">
        <f t="shared" ref="J2:J4" si="3">"0x"&amp;mid($B2,3,2)</f>
        <v>0x07</v>
      </c>
      <c r="K2" s="40" t="str">
        <f t="shared" ref="K2:K4" si="4">"0x"&amp;MID($B2,5,2)</f>
        <v>0x0E</v>
      </c>
      <c r="L2" s="40" t="str">
        <f t="shared" ref="L2:L4" si="5">"0x"&amp;MID($B2,7,2)</f>
        <v>0x07</v>
      </c>
      <c r="M2" s="42">
        <v>1.0</v>
      </c>
      <c r="N2" s="42"/>
      <c r="O2" s="45" t="str">
        <f t="shared" ref="O2:O4" si="6">"0x"&amp;MID($B2,9,2)</f>
        <v>0x1C</v>
      </c>
      <c r="P2" s="45"/>
      <c r="Q2" s="45"/>
      <c r="R2" s="46"/>
      <c r="S2" s="45"/>
      <c r="T2" s="45"/>
      <c r="U2" s="45"/>
      <c r="V2" s="40">
        <v>11.0</v>
      </c>
      <c r="W2" s="47" t="str">
        <f t="shared" ref="W2:Z2" si="1">"0x" &amp; MID($B2,$V2  + 2*(COLUMN() - COLUMN($W2)), 2)</f>
        <v>0x08</v>
      </c>
      <c r="X2" s="47" t="str">
        <f t="shared" si="1"/>
        <v>0x00</v>
      </c>
      <c r="Y2" s="47" t="str">
        <f t="shared" si="1"/>
        <v>0x00</v>
      </c>
      <c r="Z2" s="47" t="str">
        <f t="shared" si="1"/>
        <v>0x00</v>
      </c>
      <c r="AA2" s="49"/>
      <c r="AB2" s="49"/>
      <c r="AC2" s="49"/>
      <c r="AD2" s="49"/>
      <c r="AE2" s="49"/>
      <c r="AF2" s="49"/>
      <c r="AG2" s="49"/>
      <c r="AH2" s="49"/>
      <c r="AI2" s="49"/>
      <c r="AJ2" s="49"/>
      <c r="AK2" s="49"/>
      <c r="AL2" s="49"/>
      <c r="AM2" s="49"/>
      <c r="AN2" s="50"/>
    </row>
    <row r="3">
      <c r="A3" s="51" t="str">
        <f t="shared" si="2"/>
        <v>CD07</v>
      </c>
      <c r="B3" s="52" t="str">
        <f>IFERROR(__xludf.DUMMYFUNCTION("REGEXREPLACE($H3, ""(?i)^8301(E000|E100|E200|E300)?"", """")"),"CD070E071C28000000")</f>
        <v>CD070E071C28000000</v>
      </c>
      <c r="C3" s="65" t="s">
        <v>114</v>
      </c>
      <c r="D3" s="53"/>
      <c r="E3" s="65" t="s">
        <v>75</v>
      </c>
      <c r="F3" s="65" t="s">
        <v>76</v>
      </c>
      <c r="G3" s="67">
        <v>46208.0</v>
      </c>
      <c r="H3" s="68" t="s">
        <v>77</v>
      </c>
      <c r="I3" s="53"/>
      <c r="J3" s="57" t="str">
        <f t="shared" si="3"/>
        <v>0x07</v>
      </c>
      <c r="K3" s="58" t="str">
        <f t="shared" si="4"/>
        <v>0x0E</v>
      </c>
      <c r="L3" s="58" t="str">
        <f t="shared" si="5"/>
        <v>0x07</v>
      </c>
      <c r="M3" s="59">
        <v>1.0</v>
      </c>
      <c r="N3" s="59"/>
      <c r="O3" s="60" t="str">
        <f t="shared" si="6"/>
        <v>0x1C</v>
      </c>
      <c r="P3" s="60"/>
      <c r="Q3" s="60"/>
      <c r="R3" s="61"/>
      <c r="S3" s="60"/>
      <c r="T3" s="60"/>
      <c r="U3" s="60"/>
      <c r="V3" s="58">
        <v>11.0</v>
      </c>
      <c r="W3" s="62" t="str">
        <f t="shared" ref="W3:Z3" si="7">"0x" &amp; MID($B3,$V3  + 2*(COLUMN() - COLUMN($W3)), 2)</f>
        <v>0x28</v>
      </c>
      <c r="X3" s="62" t="str">
        <f t="shared" si="7"/>
        <v>0x00</v>
      </c>
      <c r="Y3" s="62" t="str">
        <f t="shared" si="7"/>
        <v>0x00</v>
      </c>
      <c r="Z3" s="62" t="str">
        <f t="shared" si="7"/>
        <v>0x00</v>
      </c>
      <c r="AA3" s="63"/>
      <c r="AB3" s="63"/>
      <c r="AC3" s="63"/>
      <c r="AD3" s="63"/>
      <c r="AE3" s="63"/>
      <c r="AF3" s="63"/>
      <c r="AG3" s="63"/>
      <c r="AH3" s="63"/>
      <c r="AI3" s="63"/>
      <c r="AJ3" s="63"/>
      <c r="AK3" s="63"/>
      <c r="AL3" s="63"/>
      <c r="AM3" s="63"/>
      <c r="AN3" s="66"/>
    </row>
    <row r="4">
      <c r="A4" s="33" t="str">
        <f t="shared" si="2"/>
        <v>CD07</v>
      </c>
      <c r="B4" s="34" t="str">
        <f>IFERROR(__xludf.DUMMYFUNCTION("REGEXREPLACE($H4, ""(?i)^8301(E000|E100|E200|E300)?"", """")"),"CD070E071C48000000")</f>
        <v>CD070E071C48000000</v>
      </c>
      <c r="C4" s="36" t="s">
        <v>114</v>
      </c>
      <c r="D4" s="35"/>
      <c r="E4" s="36" t="s">
        <v>75</v>
      </c>
      <c r="F4" s="36" t="s">
        <v>76</v>
      </c>
      <c r="G4" s="37">
        <v>46219.0</v>
      </c>
      <c r="H4" s="38" t="s">
        <v>87</v>
      </c>
      <c r="I4" s="35"/>
      <c r="J4" s="39" t="str">
        <f t="shared" si="3"/>
        <v>0x07</v>
      </c>
      <c r="K4" s="40" t="str">
        <f t="shared" si="4"/>
        <v>0x0E</v>
      </c>
      <c r="L4" s="40" t="str">
        <f t="shared" si="5"/>
        <v>0x07</v>
      </c>
      <c r="M4" s="42">
        <v>1.0</v>
      </c>
      <c r="N4" s="42"/>
      <c r="O4" s="45" t="str">
        <f t="shared" si="6"/>
        <v>0x1C</v>
      </c>
      <c r="P4" s="45"/>
      <c r="Q4" s="45"/>
      <c r="R4" s="46"/>
      <c r="S4" s="45"/>
      <c r="T4" s="45"/>
      <c r="U4" s="45"/>
      <c r="V4" s="40">
        <v>11.0</v>
      </c>
      <c r="W4" s="47" t="str">
        <f t="shared" ref="W4:Z4" si="8">"0x" &amp; MID($B4,$V4  + 2*(COLUMN() - COLUMN($W4)), 2)</f>
        <v>0x48</v>
      </c>
      <c r="X4" s="47" t="str">
        <f t="shared" si="8"/>
        <v>0x00</v>
      </c>
      <c r="Y4" s="47" t="str">
        <f t="shared" si="8"/>
        <v>0x00</v>
      </c>
      <c r="Z4" s="47" t="str">
        <f t="shared" si="8"/>
        <v>0x00</v>
      </c>
      <c r="AA4" s="49"/>
      <c r="AB4" s="49"/>
      <c r="AC4" s="49"/>
      <c r="AD4" s="49"/>
      <c r="AE4" s="49"/>
      <c r="AF4" s="49"/>
      <c r="AG4" s="49"/>
      <c r="AH4" s="49"/>
      <c r="AI4" s="49"/>
      <c r="AJ4" s="49"/>
      <c r="AK4" s="49"/>
      <c r="AL4" s="49"/>
      <c r="AM4" s="49"/>
      <c r="AN4" s="50"/>
    </row>
  </sheetData>
  <autoFilter ref="$A$1:$AN$4">
    <sortState ref="A1:AN4">
      <sortCondition ref="C1:C4"/>
      <sortCondition ref="B1:B4"/>
      <sortCondition ref="N1:N4"/>
      <sortCondition ref="W1:W4"/>
    </sortState>
  </autoFil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5"/>
    <col customWidth="1" min="2" max="2" width="45.0"/>
    <col customWidth="1" min="3" max="3" width="11.13"/>
    <col customWidth="1" min="4" max="4" width="23.63"/>
    <col customWidth="1" hidden="1" min="5" max="5" width="10.5"/>
    <col customWidth="1" hidden="1" min="6" max="6" width="14.75"/>
    <col customWidth="1" hidden="1" min="7" max="7" width="9.5"/>
    <col customWidth="1" hidden="1" min="8" max="8" width="53.0"/>
    <col customWidth="1" hidden="1" min="9" max="9" width="12.63"/>
    <col customWidth="1" min="10" max="10" width="9.0"/>
    <col customWidth="1" min="11" max="11" width="5.88"/>
    <col customWidth="1" min="12" max="12" width="5.75"/>
    <col customWidth="1" min="13" max="13" width="4.38"/>
    <col customWidth="1" min="14" max="14" width="7.0"/>
    <col customWidth="1" min="15" max="16" width="5.63"/>
    <col customWidth="1" hidden="1" min="17" max="17" width="5.63"/>
    <col customWidth="1" hidden="1" min="18" max="18" width="7.0"/>
    <col customWidth="1" hidden="1" min="19" max="21" width="5.63"/>
    <col customWidth="1" min="22" max="22" width="7.25"/>
    <col customWidth="1" min="23" max="33" width="6.38"/>
    <col customWidth="1" min="34" max="34" width="6.25"/>
    <col customWidth="1" min="35" max="39" width="6.38"/>
    <col customWidth="1" min="40" max="40" width="6.0"/>
  </cols>
  <sheetData>
    <row r="1">
      <c r="A1" s="19" t="s">
        <v>62</v>
      </c>
      <c r="B1" s="20" t="s">
        <v>71</v>
      </c>
      <c r="C1" s="20" t="s">
        <v>73</v>
      </c>
      <c r="D1" s="20" t="s">
        <v>6</v>
      </c>
      <c r="E1" s="20" t="s">
        <v>69</v>
      </c>
      <c r="F1" s="20" t="s">
        <v>70</v>
      </c>
      <c r="G1" s="20" t="s">
        <v>67</v>
      </c>
      <c r="H1" s="20" t="s">
        <v>44</v>
      </c>
      <c r="I1" s="20" t="s">
        <v>74</v>
      </c>
      <c r="J1" s="21" t="s">
        <v>1</v>
      </c>
      <c r="K1" s="23" t="s">
        <v>5</v>
      </c>
      <c r="L1" s="23" t="s">
        <v>8</v>
      </c>
      <c r="M1" s="25" t="s">
        <v>11</v>
      </c>
      <c r="N1" s="25" t="s">
        <v>20</v>
      </c>
      <c r="O1" s="26" t="s">
        <v>23</v>
      </c>
      <c r="P1" s="26" t="s">
        <v>28</v>
      </c>
      <c r="Q1" s="26" t="s">
        <v>31</v>
      </c>
      <c r="R1" s="25" t="s">
        <v>34</v>
      </c>
      <c r="S1" s="26" t="s">
        <v>37</v>
      </c>
      <c r="T1" s="26" t="s">
        <v>40</v>
      </c>
      <c r="U1" s="26" t="s">
        <v>43</v>
      </c>
      <c r="V1" s="28" t="s">
        <v>48</v>
      </c>
      <c r="W1" s="28" t="s">
        <v>83</v>
      </c>
      <c r="X1" s="28" t="s">
        <v>85</v>
      </c>
      <c r="Y1" s="28" t="s">
        <v>86</v>
      </c>
      <c r="Z1" s="28" t="s">
        <v>88</v>
      </c>
      <c r="AA1" s="28" t="s">
        <v>89</v>
      </c>
      <c r="AB1" s="28" t="s">
        <v>90</v>
      </c>
      <c r="AC1" s="28" t="s">
        <v>91</v>
      </c>
      <c r="AD1" s="28" t="s">
        <v>93</v>
      </c>
      <c r="AE1" s="28" t="s">
        <v>94</v>
      </c>
      <c r="AF1" s="28" t="s">
        <v>95</v>
      </c>
      <c r="AG1" s="28" t="s">
        <v>96</v>
      </c>
      <c r="AH1" s="28" t="s">
        <v>97</v>
      </c>
      <c r="AI1" s="28" t="s">
        <v>98</v>
      </c>
      <c r="AJ1" s="28" t="s">
        <v>100</v>
      </c>
      <c r="AK1" s="28" t="s">
        <v>101</v>
      </c>
      <c r="AL1" s="28" t="s">
        <v>102</v>
      </c>
      <c r="AM1" s="28" t="s">
        <v>103</v>
      </c>
      <c r="AN1" s="32" t="s">
        <v>57</v>
      </c>
    </row>
    <row r="2">
      <c r="A2" s="33" t="str">
        <f t="shared" ref="A2:A17" si="2">LEFT($B2, 4)</f>
        <v>E912</v>
      </c>
      <c r="B2" s="34" t="str">
        <f>IFERROR(__xludf.DUMMYFUNCTION("REGEXREPLACE($H2, ""(?i)^8301(E000|E100|E200|E300)?"", """")"),"E91200A329040E160F044897D00EFFD1460625B0")</f>
        <v>E91200A329040E160F044897D00EFFD1460625B0</v>
      </c>
      <c r="C2" s="36" t="s">
        <v>60</v>
      </c>
      <c r="D2" s="36" t="s">
        <v>150</v>
      </c>
      <c r="E2" s="36" t="s">
        <v>129</v>
      </c>
      <c r="F2" s="69" t="s">
        <v>137</v>
      </c>
      <c r="G2" s="37">
        <v>46240.0</v>
      </c>
      <c r="H2" s="44" t="s">
        <v>152</v>
      </c>
      <c r="I2" s="36" t="s">
        <v>153</v>
      </c>
      <c r="J2" s="39" t="str">
        <f t="shared" ref="J2:J17" si="3">"0x"&amp;mid($B2,3,2)</f>
        <v>0x12</v>
      </c>
      <c r="K2" s="40" t="str">
        <f t="shared" ref="K2:K17" si="4">"0x"&amp;MID($B2,5,2)</f>
        <v>0x00</v>
      </c>
      <c r="L2" s="40" t="str">
        <f t="shared" ref="L2:L17" si="5">"0x"&amp;MID($B2,7,2)</f>
        <v>0xA3</v>
      </c>
      <c r="M2" s="42"/>
      <c r="N2" s="42"/>
      <c r="O2" s="48"/>
      <c r="P2" s="48"/>
      <c r="Q2" s="48"/>
      <c r="R2" s="42"/>
      <c r="S2" s="72"/>
      <c r="T2" s="72"/>
      <c r="U2" s="72"/>
      <c r="V2" s="73">
        <v>9.0</v>
      </c>
      <c r="W2" s="47" t="str">
        <f t="shared" ref="W2:AK2" si="1">"0x" &amp; MID($B2,$V2  + 2*(COLUMN() - COLUMN($W2)), 2)</f>
        <v>0x29</v>
      </c>
      <c r="X2" s="47" t="str">
        <f t="shared" si="1"/>
        <v>0x04</v>
      </c>
      <c r="Y2" s="47" t="str">
        <f t="shared" si="1"/>
        <v>0x0E</v>
      </c>
      <c r="Z2" s="47" t="str">
        <f t="shared" si="1"/>
        <v>0x16</v>
      </c>
      <c r="AA2" s="47" t="str">
        <f t="shared" si="1"/>
        <v>0x0F</v>
      </c>
      <c r="AB2" s="47" t="str">
        <f t="shared" si="1"/>
        <v>0x04</v>
      </c>
      <c r="AC2" s="47" t="str">
        <f t="shared" si="1"/>
        <v>0x48</v>
      </c>
      <c r="AD2" s="47" t="str">
        <f t="shared" si="1"/>
        <v>0x97</v>
      </c>
      <c r="AE2" s="47" t="str">
        <f t="shared" si="1"/>
        <v>0xD0</v>
      </c>
      <c r="AF2" s="47" t="str">
        <f t="shared" si="1"/>
        <v>0x0E</v>
      </c>
      <c r="AG2" s="47" t="str">
        <f t="shared" si="1"/>
        <v>0xFF</v>
      </c>
      <c r="AH2" s="47" t="str">
        <f t="shared" si="1"/>
        <v>0xD1</v>
      </c>
      <c r="AI2" s="47" t="str">
        <f t="shared" si="1"/>
        <v>0x46</v>
      </c>
      <c r="AJ2" s="47" t="str">
        <f t="shared" si="1"/>
        <v>0x06</v>
      </c>
      <c r="AK2" s="47" t="str">
        <f t="shared" si="1"/>
        <v>0x25</v>
      </c>
      <c r="AL2" s="47"/>
      <c r="AM2" s="47"/>
      <c r="AN2" s="64" t="str">
        <f>"0x"&amp;MID($B2,39,2)</f>
        <v>0xB0</v>
      </c>
    </row>
    <row r="3">
      <c r="A3" s="51" t="str">
        <f t="shared" si="2"/>
        <v>E90F</v>
      </c>
      <c r="B3" s="52" t="str">
        <f>IFERROR(__xludf.DUMMYFUNCTION("REGEXREPLACE($H3, ""(?i)^8301(E000|E100|E200|E300)?"", """")"),"E90F00CF0F524D488FD1412AC8D1460701")</f>
        <v>E90F00CF0F524D488FD1412AC8D1460701</v>
      </c>
      <c r="C3" s="65" t="s">
        <v>60</v>
      </c>
      <c r="D3" s="65" t="s">
        <v>522</v>
      </c>
      <c r="E3" s="65" t="s">
        <v>106</v>
      </c>
      <c r="F3" s="65" t="s">
        <v>107</v>
      </c>
      <c r="G3" s="67">
        <v>46220.0</v>
      </c>
      <c r="H3" s="68" t="s">
        <v>331</v>
      </c>
      <c r="I3" s="65"/>
      <c r="J3" s="57" t="str">
        <f t="shared" si="3"/>
        <v>0x0F</v>
      </c>
      <c r="K3" s="58" t="str">
        <f t="shared" si="4"/>
        <v>0x00</v>
      </c>
      <c r="L3" s="58" t="str">
        <f t="shared" si="5"/>
        <v>0xCF</v>
      </c>
      <c r="M3" s="59">
        <v>2.0</v>
      </c>
      <c r="N3" s="59" t="str">
        <f>"0x"&amp;MID($B3,9,2)</f>
        <v>0x0F</v>
      </c>
      <c r="O3" s="71" t="str">
        <f>"0x"&amp;MID($B3,11,2)</f>
        <v>0x52</v>
      </c>
      <c r="P3" s="71" t="str">
        <f>"0x"&amp;MID($B3,13,2)</f>
        <v>0x4D</v>
      </c>
      <c r="Q3" s="71"/>
      <c r="R3" s="59"/>
      <c r="S3" s="71"/>
      <c r="T3" s="71"/>
      <c r="U3" s="71"/>
      <c r="V3" s="58">
        <v>15.0</v>
      </c>
      <c r="W3" s="58" t="str">
        <f t="shared" ref="W3:AF3" si="6">"0x" &amp; MID($B3,$V3  + 2*(COLUMN() - COLUMN($W3)), 2)</f>
        <v>0x48</v>
      </c>
      <c r="X3" s="58" t="str">
        <f t="shared" si="6"/>
        <v>0x8F</v>
      </c>
      <c r="Y3" s="58" t="str">
        <f t="shared" si="6"/>
        <v>0xD1</v>
      </c>
      <c r="Z3" s="58" t="str">
        <f t="shared" si="6"/>
        <v>0x41</v>
      </c>
      <c r="AA3" s="58" t="str">
        <f t="shared" si="6"/>
        <v>0x2A</v>
      </c>
      <c r="AB3" s="58" t="str">
        <f t="shared" si="6"/>
        <v>0xC8</v>
      </c>
      <c r="AC3" s="58" t="str">
        <f t="shared" si="6"/>
        <v>0xD1</v>
      </c>
      <c r="AD3" s="58" t="str">
        <f t="shared" si="6"/>
        <v>0x46</v>
      </c>
      <c r="AE3" s="58" t="str">
        <f t="shared" si="6"/>
        <v>0x07</v>
      </c>
      <c r="AF3" s="58" t="str">
        <f t="shared" si="6"/>
        <v>0x01</v>
      </c>
      <c r="AG3" s="58"/>
      <c r="AH3" s="58"/>
      <c r="AI3" s="58"/>
      <c r="AJ3" s="58"/>
      <c r="AK3" s="58"/>
      <c r="AL3" s="58"/>
      <c r="AM3" s="58"/>
      <c r="AN3" s="88"/>
    </row>
    <row r="4">
      <c r="A4" s="33" t="str">
        <f t="shared" si="2"/>
        <v>E90F</v>
      </c>
      <c r="B4" s="34" t="str">
        <f>IFERROR(__xludf.DUMMYFUNCTION("REGEXREPLACE($H4, ""(?i)^8301(E000|E100|E200|E300)?"", """")"),"E90F004F4897D00E80D146091E30D04E00")</f>
        <v>E90F004F4897D00E80D146091E30D04E00</v>
      </c>
      <c r="C4" s="36" t="s">
        <v>60</v>
      </c>
      <c r="D4" s="36" t="s">
        <v>473</v>
      </c>
      <c r="E4" s="36" t="s">
        <v>106</v>
      </c>
      <c r="F4" s="36" t="s">
        <v>107</v>
      </c>
      <c r="G4" s="37">
        <v>46220.0</v>
      </c>
      <c r="H4" s="38" t="s">
        <v>329</v>
      </c>
      <c r="I4" s="36"/>
      <c r="J4" s="92" t="str">
        <f t="shared" si="3"/>
        <v>0x0F</v>
      </c>
      <c r="K4" s="47" t="str">
        <f t="shared" si="4"/>
        <v>0x00</v>
      </c>
      <c r="L4" s="47" t="str">
        <f t="shared" si="5"/>
        <v>0x4F</v>
      </c>
      <c r="M4" s="80"/>
      <c r="N4" s="80"/>
      <c r="O4" s="79"/>
      <c r="P4" s="79"/>
      <c r="Q4" s="79"/>
      <c r="R4" s="80"/>
      <c r="S4" s="79"/>
      <c r="T4" s="79"/>
      <c r="U4" s="79"/>
      <c r="V4" s="73">
        <v>9.0</v>
      </c>
      <c r="W4" s="47" t="str">
        <f t="shared" ref="W4:AI4" si="7">"0x" &amp; MID($B4,$V4  + 2*(COLUMN() - COLUMN($W4)), 2)</f>
        <v>0x48</v>
      </c>
      <c r="X4" s="47" t="str">
        <f t="shared" si="7"/>
        <v>0x97</v>
      </c>
      <c r="Y4" s="47" t="str">
        <f t="shared" si="7"/>
        <v>0xD0</v>
      </c>
      <c r="Z4" s="47" t="str">
        <f t="shared" si="7"/>
        <v>0x0E</v>
      </c>
      <c r="AA4" s="47" t="str">
        <f t="shared" si="7"/>
        <v>0x80</v>
      </c>
      <c r="AB4" s="47" t="str">
        <f t="shared" si="7"/>
        <v>0xD1</v>
      </c>
      <c r="AC4" s="47" t="str">
        <f t="shared" si="7"/>
        <v>0x46</v>
      </c>
      <c r="AD4" s="47" t="str">
        <f t="shared" si="7"/>
        <v>0x09</v>
      </c>
      <c r="AE4" s="47" t="str">
        <f t="shared" si="7"/>
        <v>0x1E</v>
      </c>
      <c r="AF4" s="47" t="str">
        <f t="shared" si="7"/>
        <v>0x30</v>
      </c>
      <c r="AG4" s="47" t="str">
        <f t="shared" si="7"/>
        <v>0xD0</v>
      </c>
      <c r="AH4" s="47" t="str">
        <f t="shared" si="7"/>
        <v>0x4E</v>
      </c>
      <c r="AI4" s="47" t="str">
        <f t="shared" si="7"/>
        <v>0x00</v>
      </c>
      <c r="AJ4" s="47"/>
      <c r="AK4" s="47"/>
      <c r="AL4" s="47"/>
      <c r="AM4" s="47"/>
      <c r="AN4" s="64"/>
    </row>
    <row r="5">
      <c r="A5" s="51" t="str">
        <f t="shared" si="2"/>
        <v>E910</v>
      </c>
      <c r="B5" s="52" t="str">
        <f>IFERROR(__xludf.DUMMYFUNCTION("REGEXREPLACE($H5, ""(?i)^8301(E000|E100|E200|E300)?"", """")"),"E91000034896D00E84D146060330D04E07B0")</f>
        <v>E91000034896D00E84D146060330D04E07B0</v>
      </c>
      <c r="C5" s="65" t="s">
        <v>60</v>
      </c>
      <c r="D5" s="65" t="s">
        <v>397</v>
      </c>
      <c r="E5" s="65" t="s">
        <v>217</v>
      </c>
      <c r="F5" s="65" t="s">
        <v>218</v>
      </c>
      <c r="G5" s="67">
        <v>46244.0</v>
      </c>
      <c r="H5" s="68" t="s">
        <v>399</v>
      </c>
      <c r="I5" s="65" t="s">
        <v>153</v>
      </c>
      <c r="J5" s="57" t="str">
        <f t="shared" si="3"/>
        <v>0x10</v>
      </c>
      <c r="K5" s="58" t="str">
        <f t="shared" si="4"/>
        <v>0x00</v>
      </c>
      <c r="L5" s="58" t="str">
        <f t="shared" si="5"/>
        <v>0x03</v>
      </c>
      <c r="M5" s="59"/>
      <c r="N5" s="59"/>
      <c r="O5" s="71"/>
      <c r="P5" s="71"/>
      <c r="Q5" s="71"/>
      <c r="R5" s="59"/>
      <c r="S5" s="71"/>
      <c r="T5" s="71"/>
      <c r="U5" s="71"/>
      <c r="V5" s="58">
        <v>9.0</v>
      </c>
      <c r="W5" s="58" t="str">
        <f t="shared" ref="W5:AI5" si="8">"0x" &amp; MID($B5,$V5  + 2*(COLUMN() - COLUMN($W5)), 2)</f>
        <v>0x48</v>
      </c>
      <c r="X5" s="58" t="str">
        <f t="shared" si="8"/>
        <v>0x96</v>
      </c>
      <c r="Y5" s="58" t="str">
        <f t="shared" si="8"/>
        <v>0xD0</v>
      </c>
      <c r="Z5" s="58" t="str">
        <f t="shared" si="8"/>
        <v>0x0E</v>
      </c>
      <c r="AA5" s="58" t="str">
        <f t="shared" si="8"/>
        <v>0x84</v>
      </c>
      <c r="AB5" s="58" t="str">
        <f t="shared" si="8"/>
        <v>0xD1</v>
      </c>
      <c r="AC5" s="58" t="str">
        <f t="shared" si="8"/>
        <v>0x46</v>
      </c>
      <c r="AD5" s="58" t="str">
        <f t="shared" si="8"/>
        <v>0x06</v>
      </c>
      <c r="AE5" s="58" t="str">
        <f t="shared" si="8"/>
        <v>0x03</v>
      </c>
      <c r="AF5" s="58" t="str">
        <f t="shared" si="8"/>
        <v>0x30</v>
      </c>
      <c r="AG5" s="58" t="str">
        <f t="shared" si="8"/>
        <v>0xD0</v>
      </c>
      <c r="AH5" s="58" t="str">
        <f t="shared" si="8"/>
        <v>0x4E</v>
      </c>
      <c r="AI5" s="58" t="str">
        <f t="shared" si="8"/>
        <v>0x07</v>
      </c>
      <c r="AJ5" s="58"/>
      <c r="AK5" s="58"/>
      <c r="AL5" s="58"/>
      <c r="AM5" s="58"/>
      <c r="AN5" s="88" t="str">
        <f t="shared" ref="AN5:AN9" si="10">"0x"&amp;MID($B5,35,2)</f>
        <v>0xB0</v>
      </c>
    </row>
    <row r="6">
      <c r="A6" s="33" t="str">
        <f t="shared" si="2"/>
        <v>E910</v>
      </c>
      <c r="B6" s="34" t="str">
        <f>IFERROR(__xludf.DUMMYFUNCTION("REGEXREPLACE($H6, ""(?i)^8301(E000|E100|E200|E300)?"", """")"),"E91000434896D00E97D146063730D04E25B0")</f>
        <v>E91000434896D00E97D146063730D04E25B0</v>
      </c>
      <c r="C6" s="36" t="s">
        <v>60</v>
      </c>
      <c r="D6" s="36" t="s">
        <v>440</v>
      </c>
      <c r="E6" s="36" t="s">
        <v>129</v>
      </c>
      <c r="F6" s="36" t="s">
        <v>137</v>
      </c>
      <c r="G6" s="37">
        <v>46207.0</v>
      </c>
      <c r="H6" s="44" t="s">
        <v>348</v>
      </c>
      <c r="I6" s="36" t="s">
        <v>153</v>
      </c>
      <c r="J6" s="39" t="str">
        <f t="shared" si="3"/>
        <v>0x10</v>
      </c>
      <c r="K6" s="40" t="str">
        <f t="shared" si="4"/>
        <v>0x00</v>
      </c>
      <c r="L6" s="40" t="str">
        <f t="shared" si="5"/>
        <v>0x43</v>
      </c>
      <c r="M6" s="42"/>
      <c r="N6" s="42"/>
      <c r="O6" s="48"/>
      <c r="P6" s="48"/>
      <c r="Q6" s="48"/>
      <c r="R6" s="42"/>
      <c r="S6" s="48"/>
      <c r="T6" s="48"/>
      <c r="U6" s="48"/>
      <c r="V6" s="40">
        <v>9.0</v>
      </c>
      <c r="W6" s="40" t="str">
        <f t="shared" ref="W6:AI6" si="9">"0x" &amp; MID($B6,$V6  + 2*(COLUMN() - COLUMN($W6)), 2)</f>
        <v>0x48</v>
      </c>
      <c r="X6" s="40" t="str">
        <f t="shared" si="9"/>
        <v>0x96</v>
      </c>
      <c r="Y6" s="40" t="str">
        <f t="shared" si="9"/>
        <v>0xD0</v>
      </c>
      <c r="Z6" s="40" t="str">
        <f t="shared" si="9"/>
        <v>0x0E</v>
      </c>
      <c r="AA6" s="40" t="str">
        <f t="shared" si="9"/>
        <v>0x97</v>
      </c>
      <c r="AB6" s="40" t="str">
        <f t="shared" si="9"/>
        <v>0xD1</v>
      </c>
      <c r="AC6" s="40" t="str">
        <f t="shared" si="9"/>
        <v>0x46</v>
      </c>
      <c r="AD6" s="40" t="str">
        <f t="shared" si="9"/>
        <v>0x06</v>
      </c>
      <c r="AE6" s="40" t="str">
        <f t="shared" si="9"/>
        <v>0x37</v>
      </c>
      <c r="AF6" s="40" t="str">
        <f t="shared" si="9"/>
        <v>0x30</v>
      </c>
      <c r="AG6" s="40" t="str">
        <f t="shared" si="9"/>
        <v>0xD0</v>
      </c>
      <c r="AH6" s="40" t="str">
        <f t="shared" si="9"/>
        <v>0x4E</v>
      </c>
      <c r="AI6" s="40" t="str">
        <f t="shared" si="9"/>
        <v>0x25</v>
      </c>
      <c r="AJ6" s="40"/>
      <c r="AK6" s="40"/>
      <c r="AL6" s="40"/>
      <c r="AM6" s="40"/>
      <c r="AN6" s="75" t="str">
        <f t="shared" si="10"/>
        <v>0xB0</v>
      </c>
    </row>
    <row r="7">
      <c r="A7" s="51" t="str">
        <f t="shared" si="2"/>
        <v>E910</v>
      </c>
      <c r="B7" s="52" t="str">
        <f>IFERROR(__xludf.DUMMYFUNCTION("REGEXREPLACE($H7, ""(?i)^8301(E000|E100|E200|E300)?"", """")"),"E910004C4897D00E80D146052030D04E00B0")</f>
        <v>E910004C4897D00E80D146052030D04E00B0</v>
      </c>
      <c r="C7" s="65" t="s">
        <v>60</v>
      </c>
      <c r="D7" s="65" t="s">
        <v>523</v>
      </c>
      <c r="E7" s="65" t="s">
        <v>75</v>
      </c>
      <c r="F7" s="65" t="s">
        <v>143</v>
      </c>
      <c r="G7" s="67">
        <v>46208.0</v>
      </c>
      <c r="H7" s="68" t="s">
        <v>349</v>
      </c>
      <c r="I7" s="65"/>
      <c r="J7" s="91" t="str">
        <f t="shared" si="3"/>
        <v>0x10</v>
      </c>
      <c r="K7" s="62" t="str">
        <f t="shared" si="4"/>
        <v>0x00</v>
      </c>
      <c r="L7" s="62" t="str">
        <f t="shared" si="5"/>
        <v>0x4C</v>
      </c>
      <c r="M7" s="86"/>
      <c r="N7" s="86"/>
      <c r="O7" s="85"/>
      <c r="P7" s="85"/>
      <c r="Q7" s="85"/>
      <c r="R7" s="86"/>
      <c r="S7" s="85"/>
      <c r="T7" s="85"/>
      <c r="U7" s="85"/>
      <c r="V7" s="90">
        <v>9.0</v>
      </c>
      <c r="W7" s="62" t="str">
        <f t="shared" ref="W7:AI7" si="11">"0x" &amp; MID($B7,$V7  + 2*(COLUMN() - COLUMN($W7)), 2)</f>
        <v>0x48</v>
      </c>
      <c r="X7" s="62" t="str">
        <f t="shared" si="11"/>
        <v>0x97</v>
      </c>
      <c r="Y7" s="62" t="str">
        <f t="shared" si="11"/>
        <v>0xD0</v>
      </c>
      <c r="Z7" s="62" t="str">
        <f t="shared" si="11"/>
        <v>0x0E</v>
      </c>
      <c r="AA7" s="62" t="str">
        <f t="shared" si="11"/>
        <v>0x80</v>
      </c>
      <c r="AB7" s="62" t="str">
        <f t="shared" si="11"/>
        <v>0xD1</v>
      </c>
      <c r="AC7" s="62" t="str">
        <f t="shared" si="11"/>
        <v>0x46</v>
      </c>
      <c r="AD7" s="62" t="str">
        <f t="shared" si="11"/>
        <v>0x05</v>
      </c>
      <c r="AE7" s="62" t="str">
        <f t="shared" si="11"/>
        <v>0x20</v>
      </c>
      <c r="AF7" s="62" t="str">
        <f t="shared" si="11"/>
        <v>0x30</v>
      </c>
      <c r="AG7" s="62" t="str">
        <f t="shared" si="11"/>
        <v>0xD0</v>
      </c>
      <c r="AH7" s="62" t="str">
        <f t="shared" si="11"/>
        <v>0x4E</v>
      </c>
      <c r="AI7" s="62" t="str">
        <f t="shared" si="11"/>
        <v>0x00</v>
      </c>
      <c r="AJ7" s="62"/>
      <c r="AK7" s="62"/>
      <c r="AL7" s="62"/>
      <c r="AM7" s="62"/>
      <c r="AN7" s="74" t="str">
        <f t="shared" si="10"/>
        <v>0xB0</v>
      </c>
    </row>
    <row r="8">
      <c r="A8" s="33" t="str">
        <f t="shared" si="2"/>
        <v>E910</v>
      </c>
      <c r="B8" s="34" t="str">
        <f>IFERROR(__xludf.DUMMYFUNCTION("REGEXREPLACE($H8, ""(?i)^8301(E000|E100|E200|E300)?"", """")"),"E91000544897D00E80D146060F30D04E00B0")</f>
        <v>E91000544897D00E80D146060F30D04E00B0</v>
      </c>
      <c r="C8" s="36" t="s">
        <v>60</v>
      </c>
      <c r="D8" s="36" t="s">
        <v>523</v>
      </c>
      <c r="E8" s="36" t="s">
        <v>217</v>
      </c>
      <c r="F8" s="36" t="s">
        <v>218</v>
      </c>
      <c r="G8" s="37">
        <v>46244.0</v>
      </c>
      <c r="H8" s="38" t="s">
        <v>467</v>
      </c>
      <c r="I8" s="36"/>
      <c r="J8" s="39" t="str">
        <f t="shared" si="3"/>
        <v>0x10</v>
      </c>
      <c r="K8" s="40" t="str">
        <f t="shared" si="4"/>
        <v>0x00</v>
      </c>
      <c r="L8" s="40" t="str">
        <f t="shared" si="5"/>
        <v>0x54</v>
      </c>
      <c r="M8" s="42"/>
      <c r="N8" s="42"/>
      <c r="O8" s="45"/>
      <c r="P8" s="45"/>
      <c r="Q8" s="45"/>
      <c r="R8" s="46"/>
      <c r="S8" s="45"/>
      <c r="T8" s="45"/>
      <c r="U8" s="45"/>
      <c r="V8" s="73">
        <v>9.0</v>
      </c>
      <c r="W8" s="40" t="str">
        <f t="shared" ref="W8:AI8" si="12">"0x" &amp; MID($B8,$V8  + 2*(COLUMN() - COLUMN($W8)), 2)</f>
        <v>0x48</v>
      </c>
      <c r="X8" s="40" t="str">
        <f t="shared" si="12"/>
        <v>0x97</v>
      </c>
      <c r="Y8" s="40" t="str">
        <f t="shared" si="12"/>
        <v>0xD0</v>
      </c>
      <c r="Z8" s="40" t="str">
        <f t="shared" si="12"/>
        <v>0x0E</v>
      </c>
      <c r="AA8" s="40" t="str">
        <f t="shared" si="12"/>
        <v>0x80</v>
      </c>
      <c r="AB8" s="40" t="str">
        <f t="shared" si="12"/>
        <v>0xD1</v>
      </c>
      <c r="AC8" s="40" t="str">
        <f t="shared" si="12"/>
        <v>0x46</v>
      </c>
      <c r="AD8" s="40" t="str">
        <f t="shared" si="12"/>
        <v>0x06</v>
      </c>
      <c r="AE8" s="40" t="str">
        <f t="shared" si="12"/>
        <v>0x0F</v>
      </c>
      <c r="AF8" s="40" t="str">
        <f t="shared" si="12"/>
        <v>0x30</v>
      </c>
      <c r="AG8" s="40" t="str">
        <f t="shared" si="12"/>
        <v>0xD0</v>
      </c>
      <c r="AH8" s="40" t="str">
        <f t="shared" si="12"/>
        <v>0x4E</v>
      </c>
      <c r="AI8" s="40" t="str">
        <f t="shared" si="12"/>
        <v>0x00</v>
      </c>
      <c r="AJ8" s="40"/>
      <c r="AK8" s="40"/>
      <c r="AL8" s="40"/>
      <c r="AM8" s="40"/>
      <c r="AN8" s="64" t="str">
        <f t="shared" si="10"/>
        <v>0xB0</v>
      </c>
    </row>
    <row r="9">
      <c r="A9" s="51" t="str">
        <f t="shared" si="2"/>
        <v>E910</v>
      </c>
      <c r="B9" s="52" t="str">
        <f>IFERROR(__xludf.DUMMYFUNCTION("REGEXREPLACE($H9, ""(?i)^8301(E000|E100|E200|E300)?"", """")"),"E910006F4897D00E80D146091930D04E00B0")</f>
        <v>E910006F4897D00E80D146091930D04E00B0</v>
      </c>
      <c r="C9" s="65" t="s">
        <v>60</v>
      </c>
      <c r="D9" s="65" t="s">
        <v>524</v>
      </c>
      <c r="E9" s="65" t="s">
        <v>75</v>
      </c>
      <c r="F9" s="65" t="s">
        <v>120</v>
      </c>
      <c r="G9" s="67"/>
      <c r="H9" s="68" t="s">
        <v>474</v>
      </c>
      <c r="I9" s="53"/>
      <c r="J9" s="57" t="str">
        <f t="shared" si="3"/>
        <v>0x10</v>
      </c>
      <c r="K9" s="58" t="str">
        <f t="shared" si="4"/>
        <v>0x00</v>
      </c>
      <c r="L9" s="58" t="str">
        <f t="shared" si="5"/>
        <v>0x6F</v>
      </c>
      <c r="M9" s="59"/>
      <c r="N9" s="59"/>
      <c r="O9" s="71"/>
      <c r="P9" s="71"/>
      <c r="Q9" s="71"/>
      <c r="R9" s="59"/>
      <c r="S9" s="84"/>
      <c r="T9" s="84"/>
      <c r="U9" s="84"/>
      <c r="V9" s="90">
        <v>9.0</v>
      </c>
      <c r="W9" s="62" t="str">
        <f t="shared" ref="W9:AI9" si="13">"0x" &amp; MID($B9,$V9  + 2*(COLUMN() - COLUMN($W9)), 2)</f>
        <v>0x48</v>
      </c>
      <c r="X9" s="62" t="str">
        <f t="shared" si="13"/>
        <v>0x97</v>
      </c>
      <c r="Y9" s="62" t="str">
        <f t="shared" si="13"/>
        <v>0xD0</v>
      </c>
      <c r="Z9" s="62" t="str">
        <f t="shared" si="13"/>
        <v>0x0E</v>
      </c>
      <c r="AA9" s="62" t="str">
        <f t="shared" si="13"/>
        <v>0x80</v>
      </c>
      <c r="AB9" s="62" t="str">
        <f t="shared" si="13"/>
        <v>0xD1</v>
      </c>
      <c r="AC9" s="62" t="str">
        <f t="shared" si="13"/>
        <v>0x46</v>
      </c>
      <c r="AD9" s="62" t="str">
        <f t="shared" si="13"/>
        <v>0x09</v>
      </c>
      <c r="AE9" s="62" t="str">
        <f t="shared" si="13"/>
        <v>0x19</v>
      </c>
      <c r="AF9" s="62" t="str">
        <f t="shared" si="13"/>
        <v>0x30</v>
      </c>
      <c r="AG9" s="62" t="str">
        <f t="shared" si="13"/>
        <v>0xD0</v>
      </c>
      <c r="AH9" s="62" t="str">
        <f t="shared" si="13"/>
        <v>0x4E</v>
      </c>
      <c r="AI9" s="62" t="str">
        <f t="shared" si="13"/>
        <v>0x00</v>
      </c>
      <c r="AJ9" s="62"/>
      <c r="AK9" s="58"/>
      <c r="AL9" s="58"/>
      <c r="AM9" s="58"/>
      <c r="AN9" s="88" t="str">
        <f t="shared" si="10"/>
        <v>0xB0</v>
      </c>
    </row>
    <row r="10">
      <c r="A10" s="33" t="str">
        <f t="shared" si="2"/>
        <v>E912</v>
      </c>
      <c r="B10" s="34" t="str">
        <f>IFERROR(__xludf.DUMMYFUNCTION("REGEXREPLACE($H10, ""(?i)^8301(E000|E100|E200|E300)?"", """")"),"E91200114896D00E8BD04D83D037F0D13D0504B0")</f>
        <v>E91200114896D00E8BD04D83D037F0D13D0504B0</v>
      </c>
      <c r="C10" s="36" t="s">
        <v>60</v>
      </c>
      <c r="D10" s="36" t="s">
        <v>410</v>
      </c>
      <c r="E10" s="36" t="s">
        <v>129</v>
      </c>
      <c r="F10" s="69" t="s">
        <v>137</v>
      </c>
      <c r="G10" s="37">
        <v>46240.0</v>
      </c>
      <c r="H10" s="44" t="s">
        <v>412</v>
      </c>
      <c r="I10" s="36" t="s">
        <v>153</v>
      </c>
      <c r="J10" s="39" t="str">
        <f t="shared" si="3"/>
        <v>0x12</v>
      </c>
      <c r="K10" s="40" t="str">
        <f t="shared" si="4"/>
        <v>0x00</v>
      </c>
      <c r="L10" s="40" t="str">
        <f t="shared" si="5"/>
        <v>0x11</v>
      </c>
      <c r="M10" s="42"/>
      <c r="N10" s="42"/>
      <c r="O10" s="48"/>
      <c r="P10" s="48"/>
      <c r="Q10" s="48"/>
      <c r="R10" s="42"/>
      <c r="S10" s="72"/>
      <c r="T10" s="72"/>
      <c r="U10" s="72"/>
      <c r="V10" s="73">
        <v>9.0</v>
      </c>
      <c r="W10" s="47" t="str">
        <f t="shared" ref="W10:AK10" si="14">"0x" &amp; MID($B10,$V10  + 2*(COLUMN() - COLUMN($W10)), 2)</f>
        <v>0x48</v>
      </c>
      <c r="X10" s="47" t="str">
        <f t="shared" si="14"/>
        <v>0x96</v>
      </c>
      <c r="Y10" s="47" t="str">
        <f t="shared" si="14"/>
        <v>0xD0</v>
      </c>
      <c r="Z10" s="47" t="str">
        <f t="shared" si="14"/>
        <v>0x0E</v>
      </c>
      <c r="AA10" s="47" t="str">
        <f t="shared" si="14"/>
        <v>0x8B</v>
      </c>
      <c r="AB10" s="47" t="str">
        <f t="shared" si="14"/>
        <v>0xD0</v>
      </c>
      <c r="AC10" s="47" t="str">
        <f t="shared" si="14"/>
        <v>0x4D</v>
      </c>
      <c r="AD10" s="47" t="str">
        <f t="shared" si="14"/>
        <v>0x83</v>
      </c>
      <c r="AE10" s="47" t="str">
        <f t="shared" si="14"/>
        <v>0xD0</v>
      </c>
      <c r="AF10" s="47" t="str">
        <f t="shared" si="14"/>
        <v>0x37</v>
      </c>
      <c r="AG10" s="47" t="str">
        <f t="shared" si="14"/>
        <v>0xF0</v>
      </c>
      <c r="AH10" s="47" t="str">
        <f t="shared" si="14"/>
        <v>0xD1</v>
      </c>
      <c r="AI10" s="47" t="str">
        <f t="shared" si="14"/>
        <v>0x3D</v>
      </c>
      <c r="AJ10" s="47" t="str">
        <f t="shared" si="14"/>
        <v>0x05</v>
      </c>
      <c r="AK10" s="47" t="str">
        <f t="shared" si="14"/>
        <v>0x04</v>
      </c>
      <c r="AL10" s="47"/>
      <c r="AM10" s="47"/>
      <c r="AN10" s="64" t="str">
        <f t="shared" ref="AN10:AN11" si="16">"0x"&amp;MID($B10,39,2)</f>
        <v>0xB0</v>
      </c>
    </row>
    <row r="11">
      <c r="A11" s="51" t="str">
        <f t="shared" si="2"/>
        <v>E912</v>
      </c>
      <c r="B11" s="52" t="str">
        <f>IFERROR(__xludf.DUMMYFUNCTION("REGEXREPLACE($H11, ""(?i)^8301(E000|E100|E200|E300)?"", """")"),"E91200184896D00E86D04D83D037F0D13D050AB0")</f>
        <v>E91200184896D00E86D04D83D037F0D13D050AB0</v>
      </c>
      <c r="C11" s="65" t="s">
        <v>60</v>
      </c>
      <c r="D11" s="65" t="s">
        <v>410</v>
      </c>
      <c r="E11" s="65" t="s">
        <v>75</v>
      </c>
      <c r="F11" s="65" t="s">
        <v>143</v>
      </c>
      <c r="G11" s="67">
        <v>46208.0</v>
      </c>
      <c r="H11" s="68" t="s">
        <v>407</v>
      </c>
      <c r="I11" s="65" t="s">
        <v>153</v>
      </c>
      <c r="J11" s="57" t="str">
        <f t="shared" si="3"/>
        <v>0x12</v>
      </c>
      <c r="K11" s="58" t="str">
        <f t="shared" si="4"/>
        <v>0x00</v>
      </c>
      <c r="L11" s="58" t="str">
        <f t="shared" si="5"/>
        <v>0x18</v>
      </c>
      <c r="M11" s="59"/>
      <c r="N11" s="59"/>
      <c r="O11" s="71"/>
      <c r="P11" s="71"/>
      <c r="Q11" s="71"/>
      <c r="R11" s="59"/>
      <c r="S11" s="84"/>
      <c r="T11" s="84"/>
      <c r="U11" s="84"/>
      <c r="V11" s="90">
        <v>9.0</v>
      </c>
      <c r="W11" s="62" t="str">
        <f t="shared" ref="W11:AK11" si="15">"0x" &amp; MID($B11,$V11  + 2*(COLUMN() - COLUMN($W11)), 2)</f>
        <v>0x48</v>
      </c>
      <c r="X11" s="62" t="str">
        <f t="shared" si="15"/>
        <v>0x96</v>
      </c>
      <c r="Y11" s="62" t="str">
        <f t="shared" si="15"/>
        <v>0xD0</v>
      </c>
      <c r="Z11" s="62" t="str">
        <f t="shared" si="15"/>
        <v>0x0E</v>
      </c>
      <c r="AA11" s="62" t="str">
        <f t="shared" si="15"/>
        <v>0x86</v>
      </c>
      <c r="AB11" s="62" t="str">
        <f t="shared" si="15"/>
        <v>0xD0</v>
      </c>
      <c r="AC11" s="62" t="str">
        <f t="shared" si="15"/>
        <v>0x4D</v>
      </c>
      <c r="AD11" s="62" t="str">
        <f t="shared" si="15"/>
        <v>0x83</v>
      </c>
      <c r="AE11" s="62" t="str">
        <f t="shared" si="15"/>
        <v>0xD0</v>
      </c>
      <c r="AF11" s="62" t="str">
        <f t="shared" si="15"/>
        <v>0x37</v>
      </c>
      <c r="AG11" s="62" t="str">
        <f t="shared" si="15"/>
        <v>0xF0</v>
      </c>
      <c r="AH11" s="62" t="str">
        <f t="shared" si="15"/>
        <v>0xD1</v>
      </c>
      <c r="AI11" s="62" t="str">
        <f t="shared" si="15"/>
        <v>0x3D</v>
      </c>
      <c r="AJ11" s="62" t="str">
        <f t="shared" si="15"/>
        <v>0x05</v>
      </c>
      <c r="AK11" s="62" t="str">
        <f t="shared" si="15"/>
        <v>0x0A</v>
      </c>
      <c r="AL11" s="62"/>
      <c r="AM11" s="62"/>
      <c r="AN11" s="74" t="str">
        <f t="shared" si="16"/>
        <v>0xB0</v>
      </c>
    </row>
    <row r="12">
      <c r="A12" s="33" t="str">
        <f t="shared" si="2"/>
        <v>E911</v>
      </c>
      <c r="B12" s="34" t="str">
        <f>IFERROR(__xludf.DUMMYFUNCTION("REGEXREPLACE($H12, ""(?i)^8301(E000|E100|E200|E300)?"", """")"),"E911008F0F535C58F44882D1460207D06558B0")</f>
        <v>E911008F0F535C58F44882D1460207D06558B0</v>
      </c>
      <c r="C12" s="36" t="s">
        <v>60</v>
      </c>
      <c r="D12" s="36" t="s">
        <v>516</v>
      </c>
      <c r="E12" s="36" t="s">
        <v>75</v>
      </c>
      <c r="F12" s="36" t="s">
        <v>76</v>
      </c>
      <c r="G12" s="37">
        <v>46208.0</v>
      </c>
      <c r="H12" s="38" t="s">
        <v>387</v>
      </c>
      <c r="I12" s="36"/>
      <c r="J12" s="39" t="str">
        <f t="shared" si="3"/>
        <v>0x11</v>
      </c>
      <c r="K12" s="40" t="str">
        <f t="shared" si="4"/>
        <v>0x00</v>
      </c>
      <c r="L12" s="40" t="str">
        <f t="shared" si="5"/>
        <v>0x8F</v>
      </c>
      <c r="M12" s="77">
        <v>2.0</v>
      </c>
      <c r="N12" s="78" t="str">
        <f t="shared" ref="N12:N14" si="18">"0x"&amp;MID($B12,9,2)</f>
        <v>0x0F</v>
      </c>
      <c r="O12" s="72" t="str">
        <f t="shared" ref="O12:O14" si="19">"0x"&amp;MID($B12,11,2)</f>
        <v>0x53</v>
      </c>
      <c r="P12" s="72" t="str">
        <f t="shared" ref="P12:P14" si="20">"0x"&amp;MID($B12,13,2)</f>
        <v>0x5C</v>
      </c>
      <c r="Q12" s="79"/>
      <c r="R12" s="80"/>
      <c r="S12" s="79"/>
      <c r="T12" s="79"/>
      <c r="U12" s="79"/>
      <c r="V12" s="81">
        <v>15.0</v>
      </c>
      <c r="W12" s="40" t="str">
        <f t="shared" ref="W12:AG12" si="17">"0x" &amp; MID($B12,$V12  + 2*(COLUMN() - COLUMN($W12)), 2)</f>
        <v>0x58</v>
      </c>
      <c r="X12" s="40" t="str">
        <f t="shared" si="17"/>
        <v>0xF4</v>
      </c>
      <c r="Y12" s="40" t="str">
        <f t="shared" si="17"/>
        <v>0x48</v>
      </c>
      <c r="Z12" s="40" t="str">
        <f t="shared" si="17"/>
        <v>0x82</v>
      </c>
      <c r="AA12" s="40" t="str">
        <f t="shared" si="17"/>
        <v>0xD1</v>
      </c>
      <c r="AB12" s="40" t="str">
        <f t="shared" si="17"/>
        <v>0x46</v>
      </c>
      <c r="AC12" s="40" t="str">
        <f t="shared" si="17"/>
        <v>0x02</v>
      </c>
      <c r="AD12" s="40" t="str">
        <f t="shared" si="17"/>
        <v>0x07</v>
      </c>
      <c r="AE12" s="40" t="str">
        <f t="shared" si="17"/>
        <v>0xD0</v>
      </c>
      <c r="AF12" s="40" t="str">
        <f t="shared" si="17"/>
        <v>0x65</v>
      </c>
      <c r="AG12" s="40" t="str">
        <f t="shared" si="17"/>
        <v>0x58</v>
      </c>
      <c r="AH12" s="40"/>
      <c r="AI12" s="40"/>
      <c r="AJ12" s="40"/>
      <c r="AK12" s="40"/>
      <c r="AL12" s="40"/>
      <c r="AM12" s="40"/>
      <c r="AN12" s="64" t="str">
        <f t="shared" ref="AN12:AN13" si="22">"0x"&amp;MID($B12,37,2)</f>
        <v>0xB0</v>
      </c>
    </row>
    <row r="13">
      <c r="A13" s="51" t="str">
        <f t="shared" si="2"/>
        <v>E911</v>
      </c>
      <c r="B13" s="52" t="str">
        <f>IFERROR(__xludf.DUMMYFUNCTION("REGEXREPLACE($H13, ""(?i)^8301(E000|E100|E200|E300)?"", """")"),"E911008F0F594258F44882D146020DD06558B0")</f>
        <v>E911008F0F594258F44882D146020DD06558B0</v>
      </c>
      <c r="C13" s="65" t="s">
        <v>60</v>
      </c>
      <c r="D13" s="65" t="s">
        <v>516</v>
      </c>
      <c r="E13" s="54" t="s">
        <v>75</v>
      </c>
      <c r="F13" s="54" t="s">
        <v>76</v>
      </c>
      <c r="G13" s="55">
        <v>46235.0</v>
      </c>
      <c r="H13" s="56" t="s">
        <v>388</v>
      </c>
      <c r="I13" s="65"/>
      <c r="J13" s="57" t="str">
        <f t="shared" si="3"/>
        <v>0x11</v>
      </c>
      <c r="K13" s="58" t="str">
        <f t="shared" si="4"/>
        <v>0x00</v>
      </c>
      <c r="L13" s="58" t="str">
        <f t="shared" si="5"/>
        <v>0x8F</v>
      </c>
      <c r="M13" s="82">
        <v>2.0</v>
      </c>
      <c r="N13" s="83" t="str">
        <f t="shared" si="18"/>
        <v>0x0F</v>
      </c>
      <c r="O13" s="84" t="str">
        <f t="shared" si="19"/>
        <v>0x59</v>
      </c>
      <c r="P13" s="84" t="str">
        <f t="shared" si="20"/>
        <v>0x42</v>
      </c>
      <c r="Q13" s="85"/>
      <c r="R13" s="86"/>
      <c r="S13" s="85"/>
      <c r="T13" s="85"/>
      <c r="U13" s="85"/>
      <c r="V13" s="87">
        <v>15.0</v>
      </c>
      <c r="W13" s="58" t="str">
        <f t="shared" ref="W13:AG13" si="21">"0x" &amp; MID($B13,$V13  + 2*(COLUMN() - COLUMN($W13)), 2)</f>
        <v>0x58</v>
      </c>
      <c r="X13" s="58" t="str">
        <f t="shared" si="21"/>
        <v>0xF4</v>
      </c>
      <c r="Y13" s="58" t="str">
        <f t="shared" si="21"/>
        <v>0x48</v>
      </c>
      <c r="Z13" s="58" t="str">
        <f t="shared" si="21"/>
        <v>0x82</v>
      </c>
      <c r="AA13" s="58" t="str">
        <f t="shared" si="21"/>
        <v>0xD1</v>
      </c>
      <c r="AB13" s="58" t="str">
        <f t="shared" si="21"/>
        <v>0x46</v>
      </c>
      <c r="AC13" s="58" t="str">
        <f t="shared" si="21"/>
        <v>0x02</v>
      </c>
      <c r="AD13" s="58" t="str">
        <f t="shared" si="21"/>
        <v>0x0D</v>
      </c>
      <c r="AE13" s="58" t="str">
        <f t="shared" si="21"/>
        <v>0xD0</v>
      </c>
      <c r="AF13" s="58" t="str">
        <f t="shared" si="21"/>
        <v>0x65</v>
      </c>
      <c r="AG13" s="58" t="str">
        <f t="shared" si="21"/>
        <v>0x58</v>
      </c>
      <c r="AH13" s="58"/>
      <c r="AI13" s="58"/>
      <c r="AJ13" s="58"/>
      <c r="AK13" s="58"/>
      <c r="AL13" s="58"/>
      <c r="AM13" s="58"/>
      <c r="AN13" s="74" t="str">
        <f t="shared" si="22"/>
        <v>0xB0</v>
      </c>
    </row>
    <row r="14">
      <c r="A14" s="33" t="str">
        <f t="shared" si="2"/>
        <v>E913</v>
      </c>
      <c r="B14" s="34" t="str">
        <f>IFERROR(__xludf.DUMMYFUNCTION("REGEXREPLACE($H14, ""(?i)^8301(E000|E100|E200|E300)?"", """")"),"E91300B60F404458F44882D06519D146060A307BFF")</f>
        <v>E91300B60F404458F44882D06519D146060A307BFF</v>
      </c>
      <c r="C14" s="36" t="s">
        <v>60</v>
      </c>
      <c r="D14" s="36" t="s">
        <v>515</v>
      </c>
      <c r="E14" s="36" t="s">
        <v>129</v>
      </c>
      <c r="F14" s="36" t="s">
        <v>130</v>
      </c>
      <c r="G14" s="37">
        <v>46251.0</v>
      </c>
      <c r="H14" s="44" t="s">
        <v>471</v>
      </c>
      <c r="I14" s="35"/>
      <c r="J14" s="39" t="str">
        <f t="shared" si="3"/>
        <v>0x13</v>
      </c>
      <c r="K14" s="40" t="str">
        <f t="shared" si="4"/>
        <v>0x00</v>
      </c>
      <c r="L14" s="40" t="str">
        <f t="shared" si="5"/>
        <v>0xB6</v>
      </c>
      <c r="M14" s="77">
        <v>2.0</v>
      </c>
      <c r="N14" s="78" t="str">
        <f t="shared" si="18"/>
        <v>0x0F</v>
      </c>
      <c r="O14" s="72" t="str">
        <f t="shared" si="19"/>
        <v>0x40</v>
      </c>
      <c r="P14" s="72" t="str">
        <f t="shared" si="20"/>
        <v>0x44</v>
      </c>
      <c r="Q14" s="79"/>
      <c r="R14" s="80"/>
      <c r="S14" s="79"/>
      <c r="T14" s="79"/>
      <c r="U14" s="79"/>
      <c r="V14" s="81">
        <v>15.0</v>
      </c>
      <c r="W14" s="40" t="str">
        <f t="shared" ref="W14:AJ14" si="23">"0x" &amp; MID($B14,$V14  + 2*(COLUMN() - COLUMN($W14)), 2)</f>
        <v>0x58</v>
      </c>
      <c r="X14" s="40" t="str">
        <f t="shared" si="23"/>
        <v>0xF4</v>
      </c>
      <c r="Y14" s="40" t="str">
        <f t="shared" si="23"/>
        <v>0x48</v>
      </c>
      <c r="Z14" s="40" t="str">
        <f t="shared" si="23"/>
        <v>0x82</v>
      </c>
      <c r="AA14" s="40" t="str">
        <f t="shared" si="23"/>
        <v>0xD0</v>
      </c>
      <c r="AB14" s="40" t="str">
        <f t="shared" si="23"/>
        <v>0x65</v>
      </c>
      <c r="AC14" s="40" t="str">
        <f t="shared" si="23"/>
        <v>0x19</v>
      </c>
      <c r="AD14" s="40" t="str">
        <f t="shared" si="23"/>
        <v>0xD1</v>
      </c>
      <c r="AE14" s="40" t="str">
        <f t="shared" si="23"/>
        <v>0x46</v>
      </c>
      <c r="AF14" s="40" t="str">
        <f t="shared" si="23"/>
        <v>0x06</v>
      </c>
      <c r="AG14" s="40" t="str">
        <f t="shared" si="23"/>
        <v>0x0A</v>
      </c>
      <c r="AH14" s="40" t="str">
        <f t="shared" si="23"/>
        <v>0x30</v>
      </c>
      <c r="AI14" s="40" t="str">
        <f t="shared" si="23"/>
        <v>0x7B</v>
      </c>
      <c r="AJ14" s="40" t="str">
        <f t="shared" si="23"/>
        <v>0xFF</v>
      </c>
      <c r="AK14" s="40"/>
      <c r="AL14" s="40"/>
      <c r="AM14" s="40"/>
      <c r="AN14" s="75"/>
    </row>
    <row r="15">
      <c r="A15" s="51" t="str">
        <f t="shared" si="2"/>
        <v>E913</v>
      </c>
      <c r="B15" s="52" t="str">
        <f>IFERROR(__xludf.DUMMYFUNCTION("REGEXREPLACE($H15, ""(?i)^8301(E000|E100|E200|E300)?"", """")"),"E9130044D037F0D23D0507000EF58983510EF50C46")</f>
        <v>E9130044D037F0D23D0507000EF58983510EF50C46</v>
      </c>
      <c r="C15" s="65" t="s">
        <v>60</v>
      </c>
      <c r="D15" s="65" t="s">
        <v>526</v>
      </c>
      <c r="E15" s="65" t="s">
        <v>106</v>
      </c>
      <c r="F15" s="65" t="s">
        <v>107</v>
      </c>
      <c r="G15" s="67">
        <v>46220.0</v>
      </c>
      <c r="H15" s="68" t="s">
        <v>417</v>
      </c>
      <c r="I15" s="65" t="s">
        <v>153</v>
      </c>
      <c r="J15" s="57" t="str">
        <f t="shared" si="3"/>
        <v>0x13</v>
      </c>
      <c r="K15" s="58" t="str">
        <f t="shared" si="4"/>
        <v>0x00</v>
      </c>
      <c r="L15" s="58" t="str">
        <f t="shared" si="5"/>
        <v>0x44</v>
      </c>
      <c r="M15" s="59"/>
      <c r="N15" s="59"/>
      <c r="O15" s="71"/>
      <c r="P15" s="71"/>
      <c r="Q15" s="71"/>
      <c r="R15" s="59"/>
      <c r="S15" s="84"/>
      <c r="T15" s="84"/>
      <c r="U15" s="84"/>
      <c r="V15" s="90">
        <v>9.0</v>
      </c>
      <c r="W15" s="62" t="str">
        <f t="shared" ref="W15:AM15" si="24">"0x" &amp; MID($B15,$V15  + 2*(COLUMN() - COLUMN($W15)), 2)</f>
        <v>0xD0</v>
      </c>
      <c r="X15" s="62" t="str">
        <f t="shared" si="24"/>
        <v>0x37</v>
      </c>
      <c r="Y15" s="62" t="str">
        <f t="shared" si="24"/>
        <v>0xF0</v>
      </c>
      <c r="Z15" s="62" t="str">
        <f t="shared" si="24"/>
        <v>0xD2</v>
      </c>
      <c r="AA15" s="62" t="str">
        <f t="shared" si="24"/>
        <v>0x3D</v>
      </c>
      <c r="AB15" s="62" t="str">
        <f t="shared" si="24"/>
        <v>0x05</v>
      </c>
      <c r="AC15" s="62" t="str">
        <f t="shared" si="24"/>
        <v>0x07</v>
      </c>
      <c r="AD15" s="62" t="str">
        <f t="shared" si="24"/>
        <v>0x00</v>
      </c>
      <c r="AE15" s="62" t="str">
        <f t="shared" si="24"/>
        <v>0x0E</v>
      </c>
      <c r="AF15" s="62" t="str">
        <f t="shared" si="24"/>
        <v>0xF5</v>
      </c>
      <c r="AG15" s="62" t="str">
        <f t="shared" si="24"/>
        <v>0x89</v>
      </c>
      <c r="AH15" s="62" t="str">
        <f t="shared" si="24"/>
        <v>0x83</v>
      </c>
      <c r="AI15" s="62" t="str">
        <f t="shared" si="24"/>
        <v>0x51</v>
      </c>
      <c r="AJ15" s="62" t="str">
        <f t="shared" si="24"/>
        <v>0x0E</v>
      </c>
      <c r="AK15" s="62" t="str">
        <f t="shared" si="24"/>
        <v>0xF5</v>
      </c>
      <c r="AL15" s="62" t="str">
        <f t="shared" si="24"/>
        <v>0x0C</v>
      </c>
      <c r="AM15" s="62" t="str">
        <f t="shared" si="24"/>
        <v>0x46</v>
      </c>
      <c r="AN15" s="74"/>
    </row>
    <row r="16">
      <c r="A16" s="33" t="str">
        <f t="shared" si="2"/>
        <v>E914</v>
      </c>
      <c r="B16" s="34" t="str">
        <f>IFERROR(__xludf.DUMMYFUNCTION("REGEXREPLACE($H16, ""(?i)^8301(E000|E100|E200|E300)?"", """")"),"E914004FD037F0D23D0213060EF58983510EE40C80BB")</f>
        <v>E914004FD037F0D23D0213060EF58983510EE40C80BB</v>
      </c>
      <c r="C16" s="36" t="s">
        <v>60</v>
      </c>
      <c r="D16" s="36" t="s">
        <v>525</v>
      </c>
      <c r="E16" s="36" t="s">
        <v>129</v>
      </c>
      <c r="F16" s="36" t="s">
        <v>137</v>
      </c>
      <c r="G16" s="37">
        <v>46207.0</v>
      </c>
      <c r="H16" s="44" t="s">
        <v>433</v>
      </c>
      <c r="I16" s="36" t="s">
        <v>153</v>
      </c>
      <c r="J16" s="39" t="str">
        <f t="shared" si="3"/>
        <v>0x14</v>
      </c>
      <c r="K16" s="40" t="str">
        <f t="shared" si="4"/>
        <v>0x00</v>
      </c>
      <c r="L16" s="40" t="str">
        <f t="shared" si="5"/>
        <v>0x4F</v>
      </c>
      <c r="M16" s="42"/>
      <c r="N16" s="42"/>
      <c r="O16" s="48"/>
      <c r="P16" s="48"/>
      <c r="Q16" s="48"/>
      <c r="R16" s="42"/>
      <c r="S16" s="48"/>
      <c r="T16" s="48"/>
      <c r="U16" s="48"/>
      <c r="V16" s="40">
        <v>9.0</v>
      </c>
      <c r="W16" s="40" t="str">
        <f t="shared" ref="W16:AM16" si="25">"0x" &amp; MID($B16,$V16  + 2*(COLUMN() - COLUMN($W16)), 2)</f>
        <v>0xD0</v>
      </c>
      <c r="X16" s="40" t="str">
        <f t="shared" si="25"/>
        <v>0x37</v>
      </c>
      <c r="Y16" s="40" t="str">
        <f t="shared" si="25"/>
        <v>0xF0</v>
      </c>
      <c r="Z16" s="40" t="str">
        <f t="shared" si="25"/>
        <v>0xD2</v>
      </c>
      <c r="AA16" s="40" t="str">
        <f t="shared" si="25"/>
        <v>0x3D</v>
      </c>
      <c r="AB16" s="40" t="str">
        <f t="shared" si="25"/>
        <v>0x02</v>
      </c>
      <c r="AC16" s="40" t="str">
        <f t="shared" si="25"/>
        <v>0x13</v>
      </c>
      <c r="AD16" s="40" t="str">
        <f t="shared" si="25"/>
        <v>0x06</v>
      </c>
      <c r="AE16" s="40" t="str">
        <f t="shared" si="25"/>
        <v>0x0E</v>
      </c>
      <c r="AF16" s="40" t="str">
        <f t="shared" si="25"/>
        <v>0xF5</v>
      </c>
      <c r="AG16" s="40" t="str">
        <f t="shared" si="25"/>
        <v>0x89</v>
      </c>
      <c r="AH16" s="40" t="str">
        <f t="shared" si="25"/>
        <v>0x83</v>
      </c>
      <c r="AI16" s="40" t="str">
        <f t="shared" si="25"/>
        <v>0x51</v>
      </c>
      <c r="AJ16" s="40" t="str">
        <f t="shared" si="25"/>
        <v>0x0E</v>
      </c>
      <c r="AK16" s="40" t="str">
        <f t="shared" si="25"/>
        <v>0xE4</v>
      </c>
      <c r="AL16" s="40" t="str">
        <f t="shared" si="25"/>
        <v>0x0C</v>
      </c>
      <c r="AM16" s="40" t="str">
        <f t="shared" si="25"/>
        <v>0x80</v>
      </c>
      <c r="AN16" s="64" t="str">
        <f t="shared" ref="AN16:AN17" si="27">"0x"&amp;MID($B16,43,2)</f>
        <v>0xBB</v>
      </c>
    </row>
    <row r="17">
      <c r="A17" s="51" t="str">
        <f t="shared" si="2"/>
        <v>E914</v>
      </c>
      <c r="B17" s="52" t="str">
        <f>IFERROR(__xludf.DUMMYFUNCTION("REGEXREPLACE($H17, ""(?i)^8301(E000|E100|E200|E300)?"", """")"),"E914006AD037F0D23D040F010EED8983510EE70C80B0")</f>
        <v>E914006AD037F0D23D040F010EED8983510EE70C80B0</v>
      </c>
      <c r="C17" s="65" t="s">
        <v>60</v>
      </c>
      <c r="D17" s="65" t="s">
        <v>30</v>
      </c>
      <c r="E17" s="65" t="s">
        <v>129</v>
      </c>
      <c r="F17" s="65" t="s">
        <v>137</v>
      </c>
      <c r="G17" s="67">
        <v>46207.0</v>
      </c>
      <c r="H17" s="56" t="s">
        <v>435</v>
      </c>
      <c r="I17" s="65" t="s">
        <v>153</v>
      </c>
      <c r="J17" s="57" t="str">
        <f t="shared" si="3"/>
        <v>0x14</v>
      </c>
      <c r="K17" s="58" t="str">
        <f t="shared" si="4"/>
        <v>0x00</v>
      </c>
      <c r="L17" s="58" t="str">
        <f t="shared" si="5"/>
        <v>0x6A</v>
      </c>
      <c r="M17" s="82">
        <v>2.0</v>
      </c>
      <c r="N17" s="83" t="str">
        <f>"0x"&amp;MID($B17,9,2)</f>
        <v>0xD0</v>
      </c>
      <c r="O17" s="84" t="str">
        <f>"0x"&amp;MID($B17,11,2)</f>
        <v>0x37</v>
      </c>
      <c r="P17" s="84" t="str">
        <f>"0x"&amp;MID($B17,13,2)</f>
        <v>0xF0</v>
      </c>
      <c r="Q17" s="85"/>
      <c r="R17" s="86"/>
      <c r="S17" s="85"/>
      <c r="T17" s="85"/>
      <c r="U17" s="85"/>
      <c r="V17" s="87">
        <v>15.0</v>
      </c>
      <c r="W17" s="58" t="str">
        <f t="shared" ref="W17:AK17" si="26">"0x" &amp; MID($B17,$V17  + 2*(COLUMN() - COLUMN($W17)), 2)</f>
        <v>0xD2</v>
      </c>
      <c r="X17" s="58" t="str">
        <f t="shared" si="26"/>
        <v>0x3D</v>
      </c>
      <c r="Y17" s="58" t="str">
        <f t="shared" si="26"/>
        <v>0x04</v>
      </c>
      <c r="Z17" s="58" t="str">
        <f t="shared" si="26"/>
        <v>0x0F</v>
      </c>
      <c r="AA17" s="58" t="str">
        <f t="shared" si="26"/>
        <v>0x01</v>
      </c>
      <c r="AB17" s="58" t="str">
        <f t="shared" si="26"/>
        <v>0x0E</v>
      </c>
      <c r="AC17" s="58" t="str">
        <f t="shared" si="26"/>
        <v>0xED</v>
      </c>
      <c r="AD17" s="58" t="str">
        <f t="shared" si="26"/>
        <v>0x89</v>
      </c>
      <c r="AE17" s="58" t="str">
        <f t="shared" si="26"/>
        <v>0x83</v>
      </c>
      <c r="AF17" s="58" t="str">
        <f t="shared" si="26"/>
        <v>0x51</v>
      </c>
      <c r="AG17" s="58" t="str">
        <f t="shared" si="26"/>
        <v>0x0E</v>
      </c>
      <c r="AH17" s="58" t="str">
        <f t="shared" si="26"/>
        <v>0xE7</v>
      </c>
      <c r="AI17" s="58" t="str">
        <f t="shared" si="26"/>
        <v>0x0C</v>
      </c>
      <c r="AJ17" s="58" t="str">
        <f t="shared" si="26"/>
        <v>0x80</v>
      </c>
      <c r="AK17" s="58" t="str">
        <f t="shared" si="26"/>
        <v>0xB0</v>
      </c>
      <c r="AL17" s="58"/>
      <c r="AM17" s="58"/>
      <c r="AN17" s="74" t="str">
        <f t="shared" si="27"/>
        <v>0xB0</v>
      </c>
    </row>
  </sheetData>
  <autoFilter ref="$A$1:$AN$17">
    <sortState ref="A1:AN17">
      <sortCondition ref="W1:W17"/>
      <sortCondition ref="C1:C17"/>
      <sortCondition ref="B1:B17"/>
      <sortCondition ref="N1:N17"/>
    </sortState>
  </autoFilter>
  <drawing r:id="rId1"/>
</worksheet>
</file>